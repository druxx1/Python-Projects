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" sheetId="1" r:id="rId4"/>
    <sheet state="visible" name="Tabela 1" sheetId="2" r:id="rId5"/>
    <sheet state="visible" name="Tabela 2" sheetId="3" r:id="rId6"/>
    <sheet state="visible" name="Tabela 3" sheetId="4" r:id="rId7"/>
    <sheet state="hidden" name="Auxiliar" sheetId="5" r:id="rId8"/>
    <sheet state="hidden" name="Dados Cidades" sheetId="6" r:id="rId9"/>
  </sheets>
  <definedNames/>
  <calcPr/>
</workbook>
</file>

<file path=xl/sharedStrings.xml><?xml version="1.0" encoding="utf-8"?>
<sst xmlns="http://schemas.openxmlformats.org/spreadsheetml/2006/main" count="128" uniqueCount="50">
  <si>
    <t>TABELA 1</t>
  </si>
  <si>
    <t>Categoria</t>
  </si>
  <si>
    <t>Publico Aderente</t>
  </si>
  <si>
    <t>Peso Médio [g]</t>
  </si>
  <si>
    <t>Preço Médio</t>
  </si>
  <si>
    <t>Share de Vendas Todas as Praças</t>
  </si>
  <si>
    <t>Unidades Médias por Pedido</t>
  </si>
  <si>
    <t>TM por Cat</t>
  </si>
  <si>
    <t>Custo produção/ UND</t>
  </si>
  <si>
    <t>Arroz e Feijão</t>
  </si>
  <si>
    <t>E        D        C2</t>
  </si>
  <si>
    <t>Fitness</t>
  </si>
  <si>
    <t>D C</t>
  </si>
  <si>
    <t>Especiais</t>
  </si>
  <si>
    <t xml:space="preserve"> B2 B1 A</t>
  </si>
  <si>
    <t>Valores Totais</t>
  </si>
  <si>
    <t>-</t>
  </si>
  <si>
    <t>TABELA 2</t>
  </si>
  <si>
    <t>Município</t>
  </si>
  <si>
    <t>E</t>
  </si>
  <si>
    <t>D</t>
  </si>
  <si>
    <t>C2</t>
  </si>
  <si>
    <t>C1</t>
  </si>
  <si>
    <t>B2</t>
  </si>
  <si>
    <t>B1</t>
  </si>
  <si>
    <t>A</t>
  </si>
  <si>
    <t>Total</t>
  </si>
  <si>
    <t>Custo de Entrega - Por venda</t>
  </si>
  <si>
    <t>Custo de Marketing - Por Venda</t>
  </si>
  <si>
    <t>Cidade Z</t>
  </si>
  <si>
    <t>Cidade X</t>
  </si>
  <si>
    <t>Cidade Y</t>
  </si>
  <si>
    <t>Cidade W</t>
  </si>
  <si>
    <t>Cidade G</t>
  </si>
  <si>
    <t>Cidade F</t>
  </si>
  <si>
    <t>TABELA 3</t>
  </si>
  <si>
    <t>Classe</t>
  </si>
  <si>
    <t>Inserção</t>
  </si>
  <si>
    <t>Publico</t>
  </si>
  <si>
    <t>Preço Médio Venda UND</t>
  </si>
  <si>
    <t>Unidades Médias</t>
  </si>
  <si>
    <t>Unidades Média Por Carrinho</t>
  </si>
  <si>
    <t>Estimativa Para uma Cidade</t>
  </si>
  <si>
    <t>Categorias</t>
  </si>
  <si>
    <t xml:space="preserve">Share de Vendas </t>
  </si>
  <si>
    <t>Custo produção geral</t>
  </si>
  <si>
    <t>TM Final</t>
  </si>
  <si>
    <t>Passo</t>
  </si>
  <si>
    <t>Clientes por Categoria</t>
  </si>
  <si>
    <t>Potencial 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</si>
</sst>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164" xfId="0" applyAlignment="1" applyBorder="1" applyFont="1" applyNumberFormat="1">
      <alignment horizontal="center" readingOrder="0" shrinkToFit="0" vertical="center" wrapText="1"/>
    </xf>
    <xf borderId="5" fillId="0" fontId="1" numFmtId="9" xfId="0" applyAlignment="1" applyBorder="1" applyFont="1" applyNumberFormat="1">
      <alignment horizontal="center" readingOrder="0" shrinkToFit="0" vertical="center" wrapText="1"/>
    </xf>
    <xf borderId="5" fillId="0" fontId="1" numFmtId="1" xfId="0" applyAlignment="1" applyBorder="1" applyFont="1" applyNumberFormat="1">
      <alignment horizontal="center" readingOrder="0" shrinkToFit="0" vertical="center" wrapText="1"/>
    </xf>
    <xf borderId="5" fillId="0" fontId="1" numFmtId="164" xfId="0" applyAlignment="1" applyBorder="1" applyFont="1" applyNumberFormat="1">
      <alignment horizontal="center" shrinkToFit="0" vertical="center" wrapText="1"/>
    </xf>
    <xf borderId="6" fillId="0" fontId="1" numFmtId="164" xfId="0" applyAlignment="1" applyBorder="1" applyFont="1" applyNumberForma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164" xfId="0" applyAlignment="1" applyBorder="1" applyFont="1" applyNumberFormat="1">
      <alignment horizontal="center" shrinkToFit="0" vertical="center" wrapText="1"/>
    </xf>
    <xf borderId="8" fillId="0" fontId="1" numFmtId="9" xfId="0" applyAlignment="1" applyBorder="1" applyFont="1" applyNumberFormat="1">
      <alignment horizontal="center" shrinkToFit="0" vertical="center" wrapText="1"/>
    </xf>
    <xf borderId="8" fillId="0" fontId="1" numFmtId="1" xfId="0" applyAlignment="1" applyBorder="1" applyFont="1" applyNumberFormat="1">
      <alignment horizontal="center"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10" fillId="3" fontId="1" numFmtId="0" xfId="0" applyAlignment="1" applyBorder="1" applyFont="1">
      <alignment horizontal="center" readingOrder="0" shrinkToFit="0" vertical="center" wrapText="1"/>
    </xf>
    <xf borderId="5" fillId="0" fontId="1" numFmtId="3" xfId="0" applyAlignment="1" applyBorder="1" applyFont="1" applyNumberFormat="1">
      <alignment horizontal="center" readingOrder="0" shrinkToFit="0" vertical="center" wrapText="1"/>
    </xf>
    <xf borderId="6" fillId="0" fontId="1" numFmtId="3" xfId="0" applyAlignment="1" applyBorder="1" applyFont="1" applyNumberFormat="1">
      <alignment horizontal="center" readingOrder="0" shrinkToFit="0" vertical="center" wrapText="1"/>
    </xf>
    <xf borderId="11" fillId="0" fontId="1" numFmtId="164" xfId="0" applyAlignment="1" applyBorder="1" applyFont="1" applyNumberFormat="1">
      <alignment horizontal="center" readingOrder="0" shrinkToFit="0" vertical="center" wrapText="1"/>
    </xf>
    <xf borderId="8" fillId="0" fontId="1" numFmtId="3" xfId="0" applyAlignment="1" applyBorder="1" applyFont="1" applyNumberFormat="1">
      <alignment horizontal="center" readingOrder="0" shrinkToFit="0" vertical="center" wrapText="1"/>
    </xf>
    <xf borderId="9" fillId="0" fontId="1" numFmtId="3" xfId="0" applyAlignment="1" applyBorder="1" applyFont="1" applyNumberFormat="1">
      <alignment horizontal="center" readingOrder="0" shrinkToFit="0" vertical="center" wrapText="1"/>
    </xf>
    <xf borderId="12" fillId="0" fontId="1" numFmtId="164" xfId="0" applyAlignment="1" applyBorder="1" applyFont="1" applyNumberFormat="1">
      <alignment horizontal="center" readingOrder="0" shrinkToFit="0" vertical="center" wrapText="1"/>
    </xf>
    <xf borderId="13" fillId="3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6" fillId="3" fontId="1" numFmtId="0" xfId="0" applyAlignment="1" applyBorder="1" applyFont="1">
      <alignment horizontal="center" readingOrder="0" shrinkToFit="0" vertical="center" wrapText="1"/>
    </xf>
    <xf borderId="17" fillId="0" fontId="1" numFmtId="10" xfId="0" applyAlignment="1" applyBorder="1" applyFont="1" applyNumberFormat="1">
      <alignment horizontal="center" readingOrder="0" shrinkToFit="0" vertical="center" wrapText="1"/>
    </xf>
    <xf borderId="18" fillId="0" fontId="1" numFmtId="10" xfId="0" applyAlignment="1" applyBorder="1" applyFont="1" applyNumberFormat="1">
      <alignment horizontal="center" readingOrder="0" shrinkToFit="0" vertical="center" wrapText="1"/>
    </xf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4" xfId="0" applyFont="1" applyNumberFormat="1"/>
    <xf borderId="0" fillId="0" fontId="1" numFmtId="3" xfId="0" applyFont="1" applyNumberFormat="1"/>
    <xf borderId="0" fillId="0" fontId="1" numFmtId="0" xfId="0" applyAlignment="1" applyFont="1">
      <alignment horizontal="center" readingOrder="0" vertical="center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13" max="13" width="3.25"/>
  </cols>
  <sheetData>
    <row r="1">
      <c r="A1" s="1"/>
      <c r="B1" s="2"/>
      <c r="M1" s="1"/>
    </row>
    <row r="2">
      <c r="A2" s="3" t="s">
        <v>0</v>
      </c>
    </row>
    <row r="3">
      <c r="C3" s="4"/>
      <c r="D3" s="4"/>
      <c r="E3" s="4"/>
      <c r="F3" s="4"/>
      <c r="G3" s="4"/>
      <c r="H3" s="4"/>
      <c r="I3" s="4"/>
      <c r="J3" s="4"/>
      <c r="K3" s="5"/>
    </row>
    <row r="4">
      <c r="A4" s="6"/>
      <c r="B4" s="6"/>
      <c r="C4" s="7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9" t="s">
        <v>8</v>
      </c>
      <c r="K4" s="10"/>
      <c r="L4" s="1"/>
      <c r="M4" s="1"/>
    </row>
    <row r="5">
      <c r="A5" s="6"/>
      <c r="B5" s="6"/>
      <c r="C5" s="11" t="s">
        <v>9</v>
      </c>
      <c r="D5" s="12" t="s">
        <v>10</v>
      </c>
      <c r="E5" s="12">
        <v>300.0</v>
      </c>
      <c r="F5" s="13">
        <v>11.0</v>
      </c>
      <c r="G5" s="14">
        <v>0.4</v>
      </c>
      <c r="H5" s="15">
        <v>8.0</v>
      </c>
      <c r="I5" s="16">
        <f t="shared" ref="I5:I7" si="1">H5*F5</f>
        <v>88</v>
      </c>
      <c r="J5" s="17">
        <v>2.5</v>
      </c>
      <c r="K5" s="1"/>
      <c r="L5" s="1"/>
      <c r="M5" s="1"/>
    </row>
    <row r="6">
      <c r="A6" s="6"/>
      <c r="B6" s="6"/>
      <c r="C6" s="11" t="s">
        <v>11</v>
      </c>
      <c r="D6" s="12" t="s">
        <v>12</v>
      </c>
      <c r="E6" s="12">
        <v>350.0</v>
      </c>
      <c r="F6" s="13">
        <v>15.0</v>
      </c>
      <c r="G6" s="14">
        <v>0.4</v>
      </c>
      <c r="H6" s="15">
        <v>8.0</v>
      </c>
      <c r="I6" s="16">
        <f t="shared" si="1"/>
        <v>120</v>
      </c>
      <c r="J6" s="17">
        <v>7.0</v>
      </c>
      <c r="K6" s="1"/>
      <c r="L6" s="1"/>
      <c r="M6" s="1"/>
    </row>
    <row r="7">
      <c r="A7" s="6"/>
      <c r="B7" s="6"/>
      <c r="C7" s="11" t="s">
        <v>13</v>
      </c>
      <c r="D7" s="12" t="s">
        <v>14</v>
      </c>
      <c r="E7" s="12">
        <v>300.0</v>
      </c>
      <c r="F7" s="16">
        <v>22.0</v>
      </c>
      <c r="G7" s="14">
        <v>0.2</v>
      </c>
      <c r="H7" s="15">
        <v>4.0</v>
      </c>
      <c r="I7" s="16">
        <f t="shared" si="1"/>
        <v>88</v>
      </c>
      <c r="J7" s="17">
        <v>12.0</v>
      </c>
      <c r="K7" s="1"/>
      <c r="L7" s="1"/>
      <c r="M7" s="1"/>
    </row>
    <row r="8">
      <c r="A8" s="6"/>
      <c r="B8" s="6"/>
      <c r="C8" s="18"/>
      <c r="D8" s="19"/>
      <c r="E8" s="19"/>
      <c r="F8" s="19"/>
      <c r="G8" s="19"/>
      <c r="H8" s="19"/>
      <c r="I8" s="19"/>
      <c r="J8" s="20"/>
      <c r="K8" s="1"/>
      <c r="L8" s="1"/>
      <c r="M8" s="1"/>
    </row>
    <row r="9">
      <c r="A9" s="6"/>
      <c r="B9" s="6"/>
      <c r="C9" s="21" t="s">
        <v>15</v>
      </c>
      <c r="D9" s="22" t="s">
        <v>16</v>
      </c>
      <c r="E9" s="23">
        <f t="shared" ref="E9:F9" si="2">SUMPRODUCT(E5:E7,$G$5:$G$7)</f>
        <v>320</v>
      </c>
      <c r="F9" s="24">
        <f t="shared" si="2"/>
        <v>14.8</v>
      </c>
      <c r="G9" s="25">
        <f t="shared" ref="G9:I9" si="3">SUM(G5:G8)</f>
        <v>1</v>
      </c>
      <c r="H9" s="26">
        <f t="shared" si="3"/>
        <v>20</v>
      </c>
      <c r="I9" s="24">
        <f t="shared" si="3"/>
        <v>296</v>
      </c>
      <c r="J9" s="27">
        <f>SUMPRODUCT(J5:J7,$G$5:$G$7)</f>
        <v>6.2</v>
      </c>
      <c r="K9" s="1"/>
      <c r="L9" s="1"/>
      <c r="M9" s="1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>
      <c r="A11" s="29" t="s">
        <v>17</v>
      </c>
    </row>
    <row r="12">
      <c r="A12" s="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1"/>
    </row>
    <row r="13">
      <c r="A13" s="1"/>
      <c r="B13" s="7" t="s">
        <v>18</v>
      </c>
      <c r="C13" s="8" t="s">
        <v>19</v>
      </c>
      <c r="D13" s="8" t="s">
        <v>20</v>
      </c>
      <c r="E13" s="8" t="s">
        <v>21</v>
      </c>
      <c r="F13" s="8" t="s">
        <v>22</v>
      </c>
      <c r="G13" s="8" t="s">
        <v>23</v>
      </c>
      <c r="H13" s="8" t="s">
        <v>24</v>
      </c>
      <c r="I13" s="8" t="s">
        <v>25</v>
      </c>
      <c r="J13" s="9" t="s">
        <v>26</v>
      </c>
      <c r="K13" s="31" t="s">
        <v>27</v>
      </c>
      <c r="L13" s="31" t="s">
        <v>28</v>
      </c>
      <c r="M13" s="1"/>
    </row>
    <row r="14">
      <c r="A14" s="1"/>
      <c r="B14" s="11" t="s">
        <v>29</v>
      </c>
      <c r="C14" s="32">
        <v>11202.0</v>
      </c>
      <c r="D14" s="32">
        <v>49283.0</v>
      </c>
      <c r="E14" s="32">
        <v>118458.0</v>
      </c>
      <c r="F14" s="32">
        <v>95088.0</v>
      </c>
      <c r="G14" s="32">
        <v>28795.0</v>
      </c>
      <c r="H14" s="32">
        <v>9930.0</v>
      </c>
      <c r="I14" s="32">
        <v>4466.0</v>
      </c>
      <c r="J14" s="33">
        <v>317222.0</v>
      </c>
      <c r="K14" s="34">
        <v>10.0</v>
      </c>
      <c r="L14" s="34">
        <v>50.0</v>
      </c>
      <c r="M14" s="1"/>
    </row>
    <row r="15">
      <c r="A15" s="1"/>
      <c r="B15" s="11" t="s">
        <v>30</v>
      </c>
      <c r="C15" s="32">
        <v>20993.0</v>
      </c>
      <c r="D15" s="32">
        <v>91078.0</v>
      </c>
      <c r="E15" s="32">
        <v>111801.0</v>
      </c>
      <c r="F15" s="32">
        <v>72920.0</v>
      </c>
      <c r="G15" s="32">
        <v>28937.0</v>
      </c>
      <c r="H15" s="32">
        <v>12333.0</v>
      </c>
      <c r="I15" s="32">
        <v>5036.0</v>
      </c>
      <c r="J15" s="33">
        <v>343098.0</v>
      </c>
      <c r="K15" s="34">
        <v>7.0</v>
      </c>
      <c r="L15" s="34">
        <v>35.0</v>
      </c>
      <c r="M15" s="1"/>
    </row>
    <row r="16">
      <c r="A16" s="1"/>
      <c r="B16" s="11" t="s">
        <v>31</v>
      </c>
      <c r="C16" s="32">
        <v>24914.0</v>
      </c>
      <c r="D16" s="32">
        <v>87807.0</v>
      </c>
      <c r="E16" s="32">
        <v>125282.0</v>
      </c>
      <c r="F16" s="32">
        <v>91960.0</v>
      </c>
      <c r="G16" s="32">
        <v>38711.0</v>
      </c>
      <c r="H16" s="32">
        <v>14935.0</v>
      </c>
      <c r="I16" s="32">
        <v>6997.0</v>
      </c>
      <c r="J16" s="33">
        <v>390606.0</v>
      </c>
      <c r="K16" s="34">
        <v>15.0</v>
      </c>
      <c r="L16" s="34">
        <v>40.0</v>
      </c>
      <c r="M16" s="1"/>
    </row>
    <row r="17">
      <c r="A17" s="1"/>
      <c r="B17" s="11" t="s">
        <v>32</v>
      </c>
      <c r="C17" s="32">
        <v>19558.0</v>
      </c>
      <c r="D17" s="32">
        <v>70687.0</v>
      </c>
      <c r="E17" s="32">
        <v>140643.0</v>
      </c>
      <c r="F17" s="32">
        <v>113634.0</v>
      </c>
      <c r="G17" s="32">
        <v>43999.0</v>
      </c>
      <c r="H17" s="32">
        <v>18353.0</v>
      </c>
      <c r="I17" s="32">
        <v>8848.0</v>
      </c>
      <c r="J17" s="33">
        <v>415722.0</v>
      </c>
      <c r="K17" s="34">
        <v>7.5</v>
      </c>
      <c r="L17" s="34">
        <v>50.0</v>
      </c>
      <c r="M17" s="1"/>
    </row>
    <row r="18">
      <c r="A18" s="1"/>
      <c r="B18" s="11" t="s">
        <v>33</v>
      </c>
      <c r="C18" s="32">
        <v>36051.0</v>
      </c>
      <c r="D18" s="32">
        <v>123909.0</v>
      </c>
      <c r="E18" s="32">
        <v>193769.0</v>
      </c>
      <c r="F18" s="32">
        <v>126914.0</v>
      </c>
      <c r="G18" s="32">
        <v>50140.0</v>
      </c>
      <c r="H18" s="32">
        <v>19027.0</v>
      </c>
      <c r="I18" s="32">
        <v>8971.0</v>
      </c>
      <c r="J18" s="33">
        <v>558781.0</v>
      </c>
      <c r="K18" s="34">
        <v>40.0</v>
      </c>
      <c r="L18" s="34">
        <v>20.0</v>
      </c>
      <c r="M18" s="1"/>
    </row>
    <row r="19">
      <c r="A19" s="1"/>
      <c r="B19" s="21" t="s">
        <v>34</v>
      </c>
      <c r="C19" s="35">
        <v>74372.0</v>
      </c>
      <c r="D19" s="35">
        <v>185084.0</v>
      </c>
      <c r="E19" s="35">
        <v>150608.0</v>
      </c>
      <c r="F19" s="35">
        <v>90971.0</v>
      </c>
      <c r="G19" s="35">
        <v>38836.0</v>
      </c>
      <c r="H19" s="35">
        <v>16487.0</v>
      </c>
      <c r="I19" s="35">
        <v>8307.0</v>
      </c>
      <c r="J19" s="36">
        <v>564665.0</v>
      </c>
      <c r="K19" s="37">
        <v>25.0</v>
      </c>
      <c r="L19" s="37">
        <v>50.0</v>
      </c>
      <c r="M19" s="1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>
      <c r="A21" s="29" t="s">
        <v>35</v>
      </c>
    </row>
    <row r="22">
      <c r="A22" s="1"/>
      <c r="B22" s="1"/>
      <c r="C22" s="30"/>
      <c r="D22" s="30"/>
      <c r="E22" s="30"/>
      <c r="F22" s="30"/>
      <c r="G22" s="30"/>
      <c r="H22" s="30"/>
      <c r="I22" s="30"/>
      <c r="J22" s="1"/>
      <c r="K22" s="1"/>
      <c r="L22" s="1"/>
      <c r="M22" s="1"/>
    </row>
    <row r="23">
      <c r="A23" s="1"/>
      <c r="B23" s="38" t="s">
        <v>36</v>
      </c>
      <c r="C23" s="39" t="s">
        <v>19</v>
      </c>
      <c r="D23" s="39" t="s">
        <v>20</v>
      </c>
      <c r="E23" s="39" t="s">
        <v>21</v>
      </c>
      <c r="F23" s="39" t="s">
        <v>22</v>
      </c>
      <c r="G23" s="39" t="s">
        <v>23</v>
      </c>
      <c r="H23" s="39" t="s">
        <v>24</v>
      </c>
      <c r="I23" s="40" t="s">
        <v>25</v>
      </c>
      <c r="J23" s="1"/>
      <c r="K23" s="1"/>
      <c r="L23" s="1"/>
      <c r="M23" s="1"/>
    </row>
    <row r="24">
      <c r="A24" s="1"/>
      <c r="B24" s="41" t="s">
        <v>37</v>
      </c>
      <c r="C24" s="42">
        <v>0.01</v>
      </c>
      <c r="D24" s="42">
        <v>0.02</v>
      </c>
      <c r="E24" s="42">
        <v>0.07</v>
      </c>
      <c r="F24" s="42">
        <v>0.09</v>
      </c>
      <c r="G24" s="42">
        <v>0.1</v>
      </c>
      <c r="H24" s="42">
        <v>0.12</v>
      </c>
      <c r="I24" s="43">
        <v>0.25</v>
      </c>
      <c r="J24" s="1"/>
      <c r="K24" s="1"/>
      <c r="L24" s="1"/>
      <c r="M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>
      <c r="A28" s="1"/>
      <c r="B28" s="1"/>
      <c r="C28" s="1"/>
      <c r="D28" s="1"/>
      <c r="E28" s="1"/>
      <c r="F28" s="1"/>
      <c r="G28" s="1"/>
      <c r="H28" s="1"/>
      <c r="I28" s="30"/>
      <c r="J28" s="30"/>
      <c r="K28" s="30"/>
      <c r="L28" s="30"/>
      <c r="M28" s="30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</sheetData>
  <mergeCells count="4">
    <mergeCell ref="B1:L1"/>
    <mergeCell ref="A2:M2"/>
    <mergeCell ref="A11:M11"/>
    <mergeCell ref="A21:M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9" t="s">
        <v>8</v>
      </c>
    </row>
    <row r="2">
      <c r="A2" s="11" t="s">
        <v>9</v>
      </c>
      <c r="B2" s="12" t="s">
        <v>10</v>
      </c>
      <c r="C2" s="12">
        <v>300.0</v>
      </c>
      <c r="D2" s="13">
        <v>11.0</v>
      </c>
      <c r="E2" s="14">
        <v>0.4</v>
      </c>
      <c r="F2" s="15">
        <v>8.0</v>
      </c>
      <c r="G2" s="16">
        <f t="shared" ref="G2:G4" si="1">F2*D2</f>
        <v>88</v>
      </c>
      <c r="H2" s="17">
        <v>2.5</v>
      </c>
    </row>
    <row r="3">
      <c r="A3" s="11" t="s">
        <v>11</v>
      </c>
      <c r="B3" s="12" t="s">
        <v>12</v>
      </c>
      <c r="C3" s="12">
        <v>350.0</v>
      </c>
      <c r="D3" s="13">
        <v>15.0</v>
      </c>
      <c r="E3" s="14">
        <v>0.4</v>
      </c>
      <c r="F3" s="15">
        <v>8.0</v>
      </c>
      <c r="G3" s="16">
        <f t="shared" si="1"/>
        <v>120</v>
      </c>
      <c r="H3" s="17">
        <v>7.0</v>
      </c>
    </row>
    <row r="4">
      <c r="A4" s="11" t="s">
        <v>13</v>
      </c>
      <c r="B4" s="12" t="s">
        <v>14</v>
      </c>
      <c r="C4" s="12">
        <v>300.0</v>
      </c>
      <c r="D4" s="16">
        <v>22.0</v>
      </c>
      <c r="E4" s="14">
        <v>0.2</v>
      </c>
      <c r="F4" s="15">
        <v>4.0</v>
      </c>
      <c r="G4" s="16">
        <f t="shared" si="1"/>
        <v>88</v>
      </c>
      <c r="H4" s="17">
        <v>12.0</v>
      </c>
    </row>
    <row r="5">
      <c r="A5" s="18"/>
      <c r="B5" s="19"/>
      <c r="C5" s="19"/>
      <c r="D5" s="19"/>
      <c r="E5" s="19"/>
      <c r="F5" s="19"/>
      <c r="G5" s="19"/>
      <c r="H5" s="20"/>
    </row>
    <row r="6">
      <c r="A6" s="21" t="s">
        <v>15</v>
      </c>
      <c r="B6" s="22" t="s">
        <v>16</v>
      </c>
      <c r="C6" s="23">
        <f t="shared" ref="C6:D6" si="2">SUMPRODUCT(C2:C4,$G$5:$G$7)</f>
        <v>103600</v>
      </c>
      <c r="D6" s="24">
        <f t="shared" si="2"/>
        <v>4440</v>
      </c>
      <c r="E6" s="25">
        <f t="shared" ref="E6:G6" si="3">SUM(E2:E5)</f>
        <v>1</v>
      </c>
      <c r="F6" s="26">
        <f t="shared" si="3"/>
        <v>20</v>
      </c>
      <c r="G6" s="24">
        <f t="shared" si="3"/>
        <v>296</v>
      </c>
      <c r="H6" s="27">
        <f>SUMPRODUCT(H2:H4,$G$5:$G$7)</f>
        <v>2072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9" t="s">
        <v>26</v>
      </c>
      <c r="J1" s="31" t="s">
        <v>27</v>
      </c>
      <c r="K1" s="31" t="s">
        <v>28</v>
      </c>
    </row>
    <row r="2">
      <c r="A2" s="11" t="s">
        <v>29</v>
      </c>
      <c r="B2" s="32">
        <v>11202.0</v>
      </c>
      <c r="C2" s="32">
        <v>49283.0</v>
      </c>
      <c r="D2" s="32">
        <v>118458.0</v>
      </c>
      <c r="E2" s="32">
        <v>95088.0</v>
      </c>
      <c r="F2" s="32">
        <v>28795.0</v>
      </c>
      <c r="G2" s="32">
        <v>9930.0</v>
      </c>
      <c r="H2" s="32">
        <v>4466.0</v>
      </c>
      <c r="I2" s="33">
        <v>317222.0</v>
      </c>
      <c r="J2" s="34">
        <v>10.0</v>
      </c>
      <c r="K2" s="34">
        <v>50.0</v>
      </c>
    </row>
    <row r="3">
      <c r="A3" s="11" t="s">
        <v>30</v>
      </c>
      <c r="B3" s="32">
        <v>20993.0</v>
      </c>
      <c r="C3" s="32">
        <v>91078.0</v>
      </c>
      <c r="D3" s="32">
        <v>111801.0</v>
      </c>
      <c r="E3" s="32">
        <v>72920.0</v>
      </c>
      <c r="F3" s="32">
        <v>28937.0</v>
      </c>
      <c r="G3" s="32">
        <v>12333.0</v>
      </c>
      <c r="H3" s="32">
        <v>5036.0</v>
      </c>
      <c r="I3" s="33">
        <v>343098.0</v>
      </c>
      <c r="J3" s="34">
        <v>7.0</v>
      </c>
      <c r="K3" s="34">
        <v>35.0</v>
      </c>
    </row>
    <row r="4">
      <c r="A4" s="11" t="s">
        <v>31</v>
      </c>
      <c r="B4" s="32">
        <v>24914.0</v>
      </c>
      <c r="C4" s="32">
        <v>87807.0</v>
      </c>
      <c r="D4" s="32">
        <v>125282.0</v>
      </c>
      <c r="E4" s="32">
        <v>91960.0</v>
      </c>
      <c r="F4" s="32">
        <v>38711.0</v>
      </c>
      <c r="G4" s="32">
        <v>14935.0</v>
      </c>
      <c r="H4" s="32">
        <v>6997.0</v>
      </c>
      <c r="I4" s="33">
        <v>390606.0</v>
      </c>
      <c r="J4" s="34">
        <v>15.0</v>
      </c>
      <c r="K4" s="34">
        <v>40.0</v>
      </c>
    </row>
    <row r="5">
      <c r="A5" s="11" t="s">
        <v>32</v>
      </c>
      <c r="B5" s="32">
        <v>19558.0</v>
      </c>
      <c r="C5" s="32">
        <v>70687.0</v>
      </c>
      <c r="D5" s="32">
        <v>140643.0</v>
      </c>
      <c r="E5" s="32">
        <v>113634.0</v>
      </c>
      <c r="F5" s="32">
        <v>43999.0</v>
      </c>
      <c r="G5" s="32">
        <v>18353.0</v>
      </c>
      <c r="H5" s="32">
        <v>8848.0</v>
      </c>
      <c r="I5" s="33">
        <v>415722.0</v>
      </c>
      <c r="J5" s="34">
        <v>7.5</v>
      </c>
      <c r="K5" s="34">
        <v>50.0</v>
      </c>
    </row>
    <row r="6">
      <c r="A6" s="11" t="s">
        <v>33</v>
      </c>
      <c r="B6" s="32">
        <v>36051.0</v>
      </c>
      <c r="C6" s="32">
        <v>123909.0</v>
      </c>
      <c r="D6" s="32">
        <v>193769.0</v>
      </c>
      <c r="E6" s="32">
        <v>126914.0</v>
      </c>
      <c r="F6" s="32">
        <v>50140.0</v>
      </c>
      <c r="G6" s="32">
        <v>19027.0</v>
      </c>
      <c r="H6" s="32">
        <v>8971.0</v>
      </c>
      <c r="I6" s="33">
        <v>558781.0</v>
      </c>
      <c r="J6" s="34">
        <v>40.0</v>
      </c>
      <c r="K6" s="34">
        <v>20.0</v>
      </c>
    </row>
    <row r="7">
      <c r="A7" s="21" t="s">
        <v>34</v>
      </c>
      <c r="B7" s="35">
        <v>74372.0</v>
      </c>
      <c r="C7" s="35">
        <v>185084.0</v>
      </c>
      <c r="D7" s="35">
        <v>150608.0</v>
      </c>
      <c r="E7" s="35">
        <v>90971.0</v>
      </c>
      <c r="F7" s="35">
        <v>38836.0</v>
      </c>
      <c r="G7" s="35">
        <v>16487.0</v>
      </c>
      <c r="H7" s="35">
        <v>8307.0</v>
      </c>
      <c r="I7" s="36">
        <v>564665.0</v>
      </c>
      <c r="J7" s="37">
        <v>25.0</v>
      </c>
      <c r="K7" s="37">
        <v>50.0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36</v>
      </c>
      <c r="B1" s="39" t="s">
        <v>19</v>
      </c>
      <c r="C1" s="39" t="s">
        <v>20</v>
      </c>
      <c r="D1" s="39" t="s">
        <v>21</v>
      </c>
      <c r="E1" s="39" t="s">
        <v>22</v>
      </c>
      <c r="F1" s="39" t="s">
        <v>23</v>
      </c>
      <c r="G1" s="39" t="s">
        <v>24</v>
      </c>
      <c r="H1" s="40" t="s">
        <v>25</v>
      </c>
    </row>
    <row r="2">
      <c r="A2" s="41" t="s">
        <v>37</v>
      </c>
      <c r="B2" s="42">
        <v>0.01</v>
      </c>
      <c r="C2" s="42">
        <v>0.02</v>
      </c>
      <c r="D2" s="42">
        <v>0.07</v>
      </c>
      <c r="E2" s="42">
        <v>0.09</v>
      </c>
      <c r="F2" s="42">
        <v>0.1</v>
      </c>
      <c r="G2" s="42">
        <v>0.12</v>
      </c>
      <c r="H2" s="43">
        <v>0.25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1.0" ySplit="18.0" topLeftCell="B19" activePane="bottomRight" state="frozen"/>
      <selection activeCell="B1" sqref="B1" pane="topRight"/>
      <selection activeCell="A19" sqref="A19" pane="bottomLeft"/>
      <selection activeCell="B19" sqref="B19" pane="bottomRight"/>
    </sheetView>
  </sheetViews>
  <sheetFormatPr customHeight="1" defaultColWidth="12.63" defaultRowHeight="15.75" outlineLevelRow="1"/>
  <sheetData>
    <row r="1" outlineLevel="1">
      <c r="Y1" s="5"/>
      <c r="Z1" s="5"/>
      <c r="AC1" s="44"/>
    </row>
    <row r="2" outlineLevel="1">
      <c r="B2" s="45" t="s">
        <v>1</v>
      </c>
      <c r="C2" s="45" t="s">
        <v>38</v>
      </c>
      <c r="D2" s="45" t="s">
        <v>3</v>
      </c>
      <c r="E2" s="45" t="s">
        <v>39</v>
      </c>
      <c r="F2" s="45" t="s">
        <v>5</v>
      </c>
      <c r="G2" s="45" t="s">
        <v>40</v>
      </c>
      <c r="H2" s="45" t="s">
        <v>7</v>
      </c>
      <c r="I2" s="45" t="s">
        <v>8</v>
      </c>
      <c r="N2" s="45" t="s">
        <v>41</v>
      </c>
      <c r="Y2" s="5"/>
      <c r="Z2" s="5"/>
      <c r="AC2" s="44"/>
    </row>
    <row r="3" outlineLevel="1">
      <c r="A3" s="45">
        <v>0.0</v>
      </c>
      <c r="B3" s="45" t="str">
        <f>Case!C5</f>
        <v>Arroz e Feijão</v>
      </c>
      <c r="C3" s="45" t="str">
        <f>Case!D5</f>
        <v>E        D        C2</v>
      </c>
      <c r="D3" s="45">
        <f>Case!E5</f>
        <v>300</v>
      </c>
      <c r="E3" s="46">
        <f>Case!F5</f>
        <v>11</v>
      </c>
      <c r="F3" s="47">
        <f>Case!G5</f>
        <v>0.4</v>
      </c>
      <c r="G3" s="48">
        <f>Case!H5</f>
        <v>8</v>
      </c>
      <c r="H3" s="46">
        <f>Case!I5</f>
        <v>88</v>
      </c>
      <c r="I3" s="46">
        <f>Case!J5</f>
        <v>2.5</v>
      </c>
      <c r="J3" s="44"/>
      <c r="K3" s="44"/>
      <c r="N3" s="45">
        <v>20.0</v>
      </c>
      <c r="O3" s="5">
        <f>N3*E7</f>
        <v>296</v>
      </c>
      <c r="Y3" s="5"/>
      <c r="Z3" s="5"/>
      <c r="AC3" s="44"/>
    </row>
    <row r="4" outlineLevel="1">
      <c r="A4" s="45">
        <v>1.0</v>
      </c>
      <c r="B4" s="45" t="str">
        <f>Case!C6</f>
        <v>Fitness</v>
      </c>
      <c r="C4" s="45" t="str">
        <f>Case!D6</f>
        <v>D C</v>
      </c>
      <c r="D4" s="45">
        <f>Case!E6</f>
        <v>350</v>
      </c>
      <c r="E4" s="46">
        <f>Case!F6</f>
        <v>15</v>
      </c>
      <c r="F4" s="47">
        <f>Case!G6</f>
        <v>0.4</v>
      </c>
      <c r="G4" s="48">
        <f>Case!H6</f>
        <v>8</v>
      </c>
      <c r="H4" s="46">
        <f>Case!I6</f>
        <v>120</v>
      </c>
      <c r="I4" s="46">
        <f>Case!J6</f>
        <v>7</v>
      </c>
      <c r="J4" s="44"/>
      <c r="K4" s="44"/>
      <c r="Y4" s="5"/>
      <c r="Z4" s="5"/>
      <c r="AC4" s="44"/>
    </row>
    <row r="5" outlineLevel="1">
      <c r="A5" s="45">
        <v>2.0</v>
      </c>
      <c r="B5" s="45" t="str">
        <f>Case!C7</f>
        <v>Especiais</v>
      </c>
      <c r="C5" s="45" t="str">
        <f>Case!D7</f>
        <v> B2 B1 A</v>
      </c>
      <c r="D5" s="45">
        <f>Case!E7</f>
        <v>300</v>
      </c>
      <c r="E5" s="46">
        <f>Case!F7</f>
        <v>22</v>
      </c>
      <c r="F5" s="47">
        <f>Case!G7</f>
        <v>0.2</v>
      </c>
      <c r="G5" s="48">
        <f>Case!H7</f>
        <v>4</v>
      </c>
      <c r="H5" s="46">
        <f>Case!I7</f>
        <v>88</v>
      </c>
      <c r="I5" s="46">
        <f>Case!J7</f>
        <v>12</v>
      </c>
      <c r="J5" s="44"/>
      <c r="K5" s="44"/>
      <c r="Y5" s="5"/>
      <c r="Z5" s="5"/>
      <c r="AC5" s="44"/>
    </row>
    <row r="6" outlineLevel="1">
      <c r="Y6" s="5"/>
      <c r="Z6" s="5"/>
      <c r="AC6" s="44"/>
    </row>
    <row r="7" outlineLevel="1">
      <c r="D7" s="49">
        <f>SUMPRODUCT(D3:D5,$F$3:$F$5)/1000</f>
        <v>0.32</v>
      </c>
      <c r="E7" s="49">
        <f>SUMPRODUCT(E3:E5,$F$3:$F$5)</f>
        <v>14.8</v>
      </c>
      <c r="I7" s="46"/>
      <c r="Y7" s="5"/>
      <c r="Z7" s="5"/>
      <c r="AC7" s="44"/>
    </row>
    <row r="8" outlineLevel="1">
      <c r="B8" s="45" t="s">
        <v>42</v>
      </c>
      <c r="Y8" s="5"/>
      <c r="Z8" s="5"/>
      <c r="AC8" s="44"/>
    </row>
    <row r="9" outlineLevel="1">
      <c r="B9" s="45" t="s">
        <v>43</v>
      </c>
      <c r="C9" s="46" t="s">
        <v>4</v>
      </c>
      <c r="D9" s="45" t="s">
        <v>44</v>
      </c>
      <c r="E9" s="45" t="s">
        <v>40</v>
      </c>
      <c r="F9" s="45" t="s">
        <v>7</v>
      </c>
      <c r="G9" s="45" t="s">
        <v>8</v>
      </c>
      <c r="H9" s="45" t="s">
        <v>45</v>
      </c>
      <c r="I9" s="50" t="s">
        <v>46</v>
      </c>
      <c r="J9" s="51"/>
      <c r="K9" s="51"/>
      <c r="Y9" s="5"/>
      <c r="Z9" s="5"/>
      <c r="AC9" s="44"/>
    </row>
    <row r="10" outlineLevel="1">
      <c r="B10" s="45" t="s">
        <v>9</v>
      </c>
      <c r="C10" s="5">
        <f t="shared" ref="C10:C11" si="1">SUMIFS($E$3:$E$5,$B$3:$B$5,B10)</f>
        <v>11</v>
      </c>
      <c r="D10" s="44">
        <f>IFERROR(__xludf.DUMMYFUNCTION("SUMIFS($F$3:$F$5,$B$3:$B$5,B10)/SUMIFS($F$3:$F$5,arrayformula(regexmatch($B$3:$B$5,$B$10&amp;""|""&amp;$B$11)),TRUE)"),0.6666666666666666)</f>
        <v>0.6666666667</v>
      </c>
      <c r="E10" s="51">
        <f t="shared" ref="E10:E11" si="2">$N$3*D10</f>
        <v>13.33333333</v>
      </c>
      <c r="F10" s="5">
        <f t="shared" ref="F10:F11" si="3">E10*C10</f>
        <v>146.6666667</v>
      </c>
      <c r="G10" s="5">
        <f t="shared" ref="G10:G11" si="4">SUMIFS($I$3:$I$5,$B$3:$B$5,B10)</f>
        <v>2.5</v>
      </c>
      <c r="H10" s="5">
        <f t="shared" ref="H10:H11" si="5">G10*E10</f>
        <v>33.33333333</v>
      </c>
      <c r="I10" s="46">
        <f t="shared" ref="I10:I11" si="6">F10-H10</f>
        <v>113.3333333</v>
      </c>
      <c r="J10" s="51"/>
      <c r="K10" s="51"/>
      <c r="Y10" s="5"/>
      <c r="Z10" s="5"/>
      <c r="AC10" s="44"/>
    </row>
    <row r="11" outlineLevel="1">
      <c r="B11" s="45" t="s">
        <v>13</v>
      </c>
      <c r="C11" s="5">
        <f t="shared" si="1"/>
        <v>22</v>
      </c>
      <c r="D11" s="44">
        <f>IFERROR(__xludf.DUMMYFUNCTION("SUMIFS($F$3:$F$5,$B$3:$B$5,B11)/SUMIFS($F$3:$F$5,arrayformula(regexmatch($B$3:$B$5,$B$10&amp;""|""&amp;$B$11)),TRUE)"),0.3333333333333333)</f>
        <v>0.3333333333</v>
      </c>
      <c r="E11" s="51">
        <f t="shared" si="2"/>
        <v>6.666666667</v>
      </c>
      <c r="F11" s="5">
        <f t="shared" si="3"/>
        <v>146.6666667</v>
      </c>
      <c r="G11" s="5">
        <f t="shared" si="4"/>
        <v>12</v>
      </c>
      <c r="H11" s="5">
        <f t="shared" si="5"/>
        <v>80</v>
      </c>
      <c r="I11" s="46">
        <f t="shared" si="6"/>
        <v>66.66666667</v>
      </c>
      <c r="Y11" s="5"/>
      <c r="Z11" s="5"/>
      <c r="AC11" s="44"/>
    </row>
    <row r="12" outlineLevel="1">
      <c r="C12" s="5"/>
      <c r="D12" s="44"/>
      <c r="Y12" s="5"/>
      <c r="Z12" s="5"/>
      <c r="AC12" s="44"/>
    </row>
    <row r="13" outlineLevel="1">
      <c r="A13" s="45" t="s">
        <v>47</v>
      </c>
      <c r="F13" s="5">
        <f>SUM(F10:F12)</f>
        <v>293.3333333</v>
      </c>
      <c r="Y13" s="5"/>
      <c r="Z13" s="5"/>
      <c r="AC13" s="44"/>
    </row>
    <row r="14" outlineLevel="1">
      <c r="A14" s="47">
        <v>0.05</v>
      </c>
      <c r="Y14" s="5"/>
      <c r="Z14" s="5"/>
      <c r="AC14" s="44"/>
    </row>
    <row r="15" outlineLevel="1">
      <c r="H15" s="52"/>
      <c r="Y15" s="5"/>
      <c r="Z15" s="5"/>
      <c r="AC15" s="44"/>
    </row>
    <row r="16">
      <c r="G16" s="49" t="str">
        <f>IFERROR(__xludf.DUMMYFUNCTION("SUMIFS($F$3:$F$5,$B$3:$B$5,'Cidade Z'!G$1)/SUMIFS($F$3:$F$5,arrayformula(regexmatch($B$3:$B$5,'Cidade Z'!G$1&amp;""|""&amp;'Cidade Z'!H$1)),TRUE)*$N$3*(SUMIFS($E$3:$E$5,$B$3:$B$5,'Cidade Z'!G$1)-SUMIFS($I$3:$I$5,$B$3:$B$5,'Cidade Z'!G$1))"),"#DIV/0!")</f>
        <v>#DIV/0!</v>
      </c>
      <c r="H16" s="49" t="str">
        <f>IFERROR(__xludf.DUMMYFUNCTION("SUMIFS($F$3:$F$5,$B$3:$B$5,'Cidade Z'!H$1)/SUMIFS($F$3:$F$5,arrayformula(regexmatch($B$3:$B$5,'Cidade Z'!G$1&amp;""|""&amp;'Cidade Z'!H$1)),TRUE)*$N$3*(SUMIFS($E$3:$E$5,$B$3:$B$5,'Cidade Z'!H$1)-SUMIFS($I$3:$I$5,$B$3:$B$5,'Cidade Z'!H$1))"),"#DIV/0!")</f>
        <v>#DIV/0!</v>
      </c>
      <c r="M16" s="49" t="str">
        <f>IFERROR(__xludf.DUMMYFUNCTION("SUMIFS($F$3:$F$5,$B$3:$B$5,'Cidade Z'!M$1)/SUMIFS($F$3:$F$5,arrayformula(regexmatch($B$3:$B$5,'Cidade Z'!M$1&amp;""|""&amp;'Cidade Z'!N$1)),TRUE)*$N$3*(SUMIFS($E$3:$E$5,$B$3:$B$5,'Cidade Z'!M$1)-SUMIFS($I$3:$I$5,$B$3:$B$5,'Cidade Z'!M$1))"),"#DIV/0!")</f>
        <v>#DIV/0!</v>
      </c>
      <c r="N16" s="49" t="str">
        <f>IFERROR(__xludf.DUMMYFUNCTION("SUMIFS($F$3:$F$5,$B$3:$B$5,'Cidade Z'!N$1)/SUMIFS($F$3:$F$5,arrayformula(regexmatch($B$3:$B$5,'Cidade Z'!M$1&amp;""|""&amp;'Cidade Z'!N$1)),TRUE)*$N$3*(SUMIFS($E$3:$E$5,$B$3:$B$5,'Cidade Z'!N$1)-SUMIFS($I$3:$I$5,$B$3:$B$5,'Cidade Z'!N$1))"),"#DIV/0!")</f>
        <v>#DIV/0!</v>
      </c>
      <c r="S16" s="49" t="str">
        <f>IFERROR(__xludf.DUMMYFUNCTION("SUMIFS($F$3:$F$5,$B$3:$B$5,'Cidade Z'!S$1)/SUMIFS($F$3:$F$5,arrayformula(regexmatch($B$3:$B$5,'Cidade Z'!S$1&amp;""|""&amp;'Cidade Z'!T$1)),TRUE)*$N$3*(SUMIFS($E$3:$E$5,$B$3:$B$5,'Cidade Z'!S$1)-SUMIFS($I$3:$I$5,$B$3:$B$5,'Cidade Z'!S$1))"),"#DIV/0!")</f>
        <v>#DIV/0!</v>
      </c>
      <c r="T16" s="49" t="str">
        <f>IFERROR(__xludf.DUMMYFUNCTION("SUMIFS($F$3:$F$5,$B$3:$B$5,'Cidade Z'!T$1)/SUMIFS($F$3:$F$5,arrayformula(regexmatch($B$3:$B$5,'Cidade Z'!S$1&amp;""|""&amp;'Cidade Z'!T$1)),TRUE)*$N$3*(SUMIFS($E$3:$E$5,$B$3:$B$5,'Cidade Z'!T$1)-SUMIFS($I$3:$I$5,$B$3:$B$5,'Cidade Z'!T$1))"),"#DIV/0!")</f>
        <v>#DIV/0!</v>
      </c>
      <c r="Y16" s="5">
        <f>-SUMIFS('Dados Cidades'!$K$6:$K$11,'Dados Cidades'!$B$6:$B$11,'Cidade Z'!F2)</f>
        <v>0</v>
      </c>
      <c r="Z16" s="5">
        <f>-SUMIFS('Dados Cidades'!$L$6:$L$11,'Dados Cidades'!$B$6:$B$11,'Cidade Z'!F2)</f>
        <v>0</v>
      </c>
      <c r="AC16" s="44"/>
    </row>
    <row r="17">
      <c r="C17" s="53" t="s">
        <v>48</v>
      </c>
      <c r="AC17" s="44"/>
    </row>
    <row r="39">
      <c r="G39" s="5"/>
      <c r="H39" s="5"/>
      <c r="I39" s="5"/>
      <c r="L39" s="5"/>
      <c r="M39" s="5"/>
      <c r="N39" s="5"/>
      <c r="O39" s="5"/>
      <c r="R39" s="5"/>
      <c r="S39" s="5"/>
      <c r="T39" s="5"/>
      <c r="U39" s="5"/>
      <c r="W39" s="5"/>
      <c r="X39" s="5"/>
      <c r="Y39" s="5">
        <f>-SUMIFS('Dados Cidades'!$K$6:$K$11,'Dados Cidades'!$B$6:$B$11,'Cidade Y'!F2)</f>
        <v>0</v>
      </c>
      <c r="Z39" s="5">
        <f>-SUMIFS('Dados Cidades'!$L$6:$L$11,'Dados Cidades'!$B$6:$B$11,'Cidade Y'!F2)</f>
        <v>0</v>
      </c>
      <c r="AA39" s="5"/>
      <c r="AB39" s="5"/>
      <c r="AC39" s="44"/>
      <c r="AD39" s="5"/>
    </row>
    <row r="60">
      <c r="G60" s="5"/>
      <c r="H60" s="5"/>
      <c r="I60" s="5"/>
      <c r="L60" s="5"/>
      <c r="M60" s="5"/>
      <c r="N60" s="5"/>
      <c r="O60" s="5">
        <f>SUM(M60:N60)</f>
        <v>0</v>
      </c>
      <c r="R60" s="5"/>
      <c r="S60" s="5"/>
      <c r="T60" s="5"/>
      <c r="U60" s="5">
        <f>SUM(S60:T60)</f>
        <v>0</v>
      </c>
      <c r="W60" s="5"/>
      <c r="X60" s="5"/>
      <c r="Y60" s="5">
        <f>-SUMIFS('Dados Cidades'!$K$6:$K$11,'Dados Cidades'!$B$6:$B$11,'Cidade X'!F2)</f>
        <v>0</v>
      </c>
      <c r="Z60" s="5">
        <f>-SUMIFS('Dados Cidades'!$L$6:$L$11,'Dados Cidades'!$B$6:$B$11,'Cidade X'!F2)</f>
        <v>0</v>
      </c>
      <c r="AA60" s="5"/>
      <c r="AB60" s="5"/>
      <c r="AC60" s="44"/>
      <c r="AD60" s="5"/>
    </row>
    <row r="81">
      <c r="G81" s="5"/>
      <c r="H81" s="5"/>
      <c r="I81" s="5"/>
      <c r="L81" s="5"/>
      <c r="M81" s="5"/>
      <c r="N81" s="5"/>
      <c r="O81" s="5">
        <f>SUM(M81:N81)</f>
        <v>0</v>
      </c>
      <c r="R81" s="5"/>
      <c r="S81" s="5"/>
      <c r="T81" s="5"/>
      <c r="U81" s="5">
        <f>SUM(S81:T81)</f>
        <v>0</v>
      </c>
      <c r="W81" s="5"/>
      <c r="X81" s="5"/>
      <c r="Y81" s="5">
        <f>-SUMIFS('Dados Cidades'!$K$6:$K$11,'Dados Cidades'!$B$6:$B$11,'Cidade W'!F2)</f>
        <v>0</v>
      </c>
      <c r="Z81" s="5">
        <f>-SUMIFS('Dados Cidades'!$L$6:$L$11,'Dados Cidades'!$B$6:$B$11,'Cidade W'!F2)</f>
        <v>0</v>
      </c>
      <c r="AA81" s="5"/>
      <c r="AB81" s="5"/>
      <c r="AC81" s="44"/>
      <c r="AD81" s="5"/>
    </row>
    <row r="102">
      <c r="G102" s="5"/>
      <c r="H102" s="5"/>
      <c r="I102" s="5"/>
      <c r="L102" s="5"/>
      <c r="M102" s="5"/>
      <c r="N102" s="5"/>
      <c r="O102" s="5">
        <f>SUM(M102:N102)</f>
        <v>0</v>
      </c>
      <c r="R102" s="5"/>
      <c r="S102" s="5"/>
      <c r="T102" s="5"/>
      <c r="U102" s="5">
        <f>SUM(S102:T102)</f>
        <v>0</v>
      </c>
      <c r="W102" s="5"/>
      <c r="X102" s="5"/>
      <c r="Y102" s="5">
        <f>-SUMIFS('Dados Cidades'!$K$6:$K$11,'Dados Cidades'!$B$6:$B$11,'Cidade G'!F2)</f>
        <v>0</v>
      </c>
      <c r="Z102" s="5">
        <f>-SUMIFS('Dados Cidades'!$L$6:$L$11,'Dados Cidades'!$B$6:$B$11,'Cidade G'!F2)</f>
        <v>0</v>
      </c>
      <c r="AA102" s="5"/>
      <c r="AB102" s="5"/>
      <c r="AC102" s="44"/>
      <c r="AD102" s="5"/>
    </row>
    <row r="123">
      <c r="G123" s="5"/>
      <c r="H123" s="5"/>
      <c r="I123" s="5"/>
      <c r="L123" s="5"/>
      <c r="M123" s="5"/>
      <c r="N123" s="5"/>
      <c r="O123" s="5">
        <f>SUM(M123:N123)</f>
        <v>0</v>
      </c>
      <c r="R123" s="5"/>
      <c r="S123" s="5"/>
      <c r="T123" s="5"/>
      <c r="U123" s="5">
        <f>SUM(S123:T123)</f>
        <v>0</v>
      </c>
      <c r="W123" s="5"/>
      <c r="X123" s="5"/>
      <c r="Y123" s="5">
        <f>-SUMIFS('Dados Cidades'!$K$6:$K$11,'Dados Cidades'!$B$6:$B$11,'Cidade F'!F2)</f>
        <v>0</v>
      </c>
      <c r="Z123" s="5">
        <f>-SUMIFS('Dados Cidades'!$L$6:$L$11,'Dados Cidades'!$B$6:$B$11,'Cidade F'!F2)</f>
        <v>0</v>
      </c>
      <c r="AA123" s="5"/>
      <c r="AB123" s="5"/>
      <c r="AC123" s="44"/>
      <c r="AD123" s="5"/>
    </row>
    <row r="144">
      <c r="I144" s="5"/>
      <c r="J144" s="5"/>
      <c r="K144" s="5"/>
      <c r="L144" s="5"/>
      <c r="M144" s="5"/>
      <c r="N144" s="5"/>
      <c r="O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44"/>
      <c r="AD144" s="5"/>
    </row>
    <row r="145">
      <c r="I145" s="5"/>
      <c r="J145" s="5"/>
      <c r="K145" s="5"/>
      <c r="L145" s="5"/>
      <c r="M145" s="5"/>
      <c r="N145" s="5"/>
      <c r="O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44"/>
      <c r="AD145" s="5"/>
    </row>
    <row r="146"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Y146" s="5"/>
      <c r="Z146" s="5"/>
      <c r="AC146" s="44"/>
    </row>
    <row r="147"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Y147" s="5"/>
      <c r="Z147" s="5"/>
      <c r="AC147" s="44"/>
    </row>
    <row r="148"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Y148" s="5"/>
      <c r="Z148" s="5"/>
      <c r="AC148" s="44"/>
    </row>
    <row r="149"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Y149" s="5"/>
      <c r="Z149" s="5"/>
      <c r="AC149" s="44"/>
    </row>
    <row r="150"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Y150" s="5"/>
      <c r="Z150" s="5"/>
      <c r="AC150" s="44"/>
    </row>
    <row r="151"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Y151" s="5"/>
      <c r="Z151" s="5"/>
      <c r="AC151" s="44"/>
    </row>
    <row r="152">
      <c r="Y152" s="5"/>
      <c r="Z152" s="5"/>
      <c r="AC152" s="44"/>
    </row>
    <row r="153">
      <c r="Y153" s="5"/>
      <c r="Z153" s="5"/>
      <c r="AC153" s="44"/>
    </row>
    <row r="154">
      <c r="Y154" s="5"/>
      <c r="Z154" s="5"/>
      <c r="AC154" s="44"/>
    </row>
    <row r="155">
      <c r="Y155" s="5"/>
      <c r="Z155" s="5"/>
      <c r="AC155" s="44"/>
    </row>
    <row r="156">
      <c r="Y156" s="5"/>
      <c r="Z156" s="5"/>
      <c r="AC156" s="44"/>
    </row>
    <row r="157">
      <c r="Y157" s="5"/>
      <c r="Z157" s="5"/>
      <c r="AC157" s="44"/>
    </row>
    <row r="158">
      <c r="Y158" s="5"/>
      <c r="Z158" s="5"/>
      <c r="AC158" s="44"/>
    </row>
    <row r="159">
      <c r="Y159" s="5"/>
      <c r="Z159" s="5"/>
      <c r="AC159" s="44"/>
    </row>
    <row r="160">
      <c r="Y160" s="5"/>
      <c r="Z160" s="5"/>
      <c r="AC160" s="44"/>
    </row>
    <row r="161">
      <c r="Y161" s="5"/>
      <c r="Z161" s="5"/>
      <c r="AC161" s="44"/>
    </row>
    <row r="162">
      <c r="Y162" s="5"/>
      <c r="Z162" s="5"/>
      <c r="AC162" s="44"/>
    </row>
    <row r="163">
      <c r="Y163" s="5"/>
      <c r="Z163" s="5"/>
      <c r="AC163" s="44"/>
    </row>
    <row r="164">
      <c r="Y164" s="5"/>
      <c r="Z164" s="5"/>
      <c r="AC164" s="44"/>
    </row>
    <row r="165">
      <c r="Y165" s="5"/>
      <c r="Z165" s="5"/>
      <c r="AC165" s="44"/>
    </row>
    <row r="166">
      <c r="Y166" s="5"/>
      <c r="Z166" s="5"/>
      <c r="AC166" s="44"/>
    </row>
    <row r="167">
      <c r="Y167" s="5"/>
      <c r="Z167" s="5"/>
      <c r="AC167" s="44"/>
    </row>
    <row r="168">
      <c r="Y168" s="5"/>
      <c r="Z168" s="5"/>
      <c r="AC168" s="44"/>
    </row>
    <row r="169">
      <c r="Y169" s="5"/>
      <c r="Z169" s="5"/>
      <c r="AC169" s="44"/>
    </row>
    <row r="170">
      <c r="Y170" s="5"/>
      <c r="Z170" s="5"/>
      <c r="AC170" s="44"/>
    </row>
    <row r="171">
      <c r="Y171" s="5"/>
      <c r="Z171" s="5"/>
      <c r="AC171" s="44"/>
    </row>
    <row r="172">
      <c r="Y172" s="5"/>
      <c r="Z172" s="5"/>
      <c r="AC172" s="44"/>
    </row>
    <row r="173">
      <c r="Y173" s="5"/>
      <c r="Z173" s="5"/>
      <c r="AC173" s="44"/>
    </row>
    <row r="174">
      <c r="Y174" s="5"/>
      <c r="Z174" s="5"/>
      <c r="AC174" s="44"/>
    </row>
    <row r="175">
      <c r="Y175" s="5"/>
      <c r="Z175" s="5"/>
      <c r="AC175" s="44"/>
    </row>
    <row r="176">
      <c r="Y176" s="5"/>
      <c r="Z176" s="5"/>
      <c r="AC176" s="44"/>
    </row>
    <row r="177">
      <c r="Y177" s="5"/>
      <c r="Z177" s="5"/>
      <c r="AC177" s="44"/>
    </row>
    <row r="178">
      <c r="Y178" s="5"/>
      <c r="Z178" s="5"/>
      <c r="AC178" s="44"/>
    </row>
    <row r="179">
      <c r="Y179" s="5"/>
      <c r="Z179" s="5"/>
      <c r="AC179" s="44"/>
    </row>
    <row r="180">
      <c r="Y180" s="5"/>
      <c r="Z180" s="5"/>
      <c r="AC180" s="44"/>
    </row>
    <row r="181">
      <c r="Y181" s="5"/>
      <c r="Z181" s="5"/>
      <c r="AC181" s="44"/>
    </row>
    <row r="182">
      <c r="Y182" s="5"/>
      <c r="Z182" s="5"/>
      <c r="AC182" s="44"/>
    </row>
    <row r="183">
      <c r="Y183" s="5"/>
      <c r="Z183" s="5"/>
      <c r="AC183" s="44"/>
    </row>
    <row r="184">
      <c r="Y184" s="5"/>
      <c r="Z184" s="5"/>
      <c r="AC184" s="44"/>
    </row>
    <row r="185">
      <c r="Y185" s="5"/>
      <c r="Z185" s="5"/>
      <c r="AC185" s="44"/>
    </row>
    <row r="186">
      <c r="Y186" s="5"/>
      <c r="Z186" s="5"/>
      <c r="AC186" s="44"/>
    </row>
    <row r="187">
      <c r="Y187" s="5"/>
      <c r="Z187" s="5"/>
      <c r="AC187" s="44"/>
    </row>
    <row r="188">
      <c r="Y188" s="5"/>
      <c r="Z188" s="5"/>
      <c r="AC188" s="44"/>
    </row>
    <row r="189">
      <c r="Y189" s="5"/>
      <c r="Z189" s="5"/>
      <c r="AC189" s="44"/>
    </row>
    <row r="190">
      <c r="Y190" s="5"/>
      <c r="Z190" s="5"/>
      <c r="AC190" s="44"/>
    </row>
    <row r="191">
      <c r="Y191" s="5"/>
      <c r="Z191" s="5"/>
      <c r="AC191" s="44"/>
    </row>
    <row r="192">
      <c r="Y192" s="5"/>
      <c r="Z192" s="5"/>
      <c r="AC192" s="44"/>
    </row>
    <row r="193">
      <c r="Y193" s="5"/>
      <c r="Z193" s="5"/>
      <c r="AC193" s="44"/>
    </row>
    <row r="194">
      <c r="Y194" s="5"/>
      <c r="Z194" s="5"/>
      <c r="AC194" s="44"/>
    </row>
    <row r="195">
      <c r="Y195" s="5"/>
      <c r="Z195" s="5"/>
      <c r="AC195" s="44"/>
    </row>
    <row r="196">
      <c r="Y196" s="5"/>
      <c r="Z196" s="5"/>
      <c r="AC196" s="44"/>
    </row>
    <row r="197">
      <c r="Y197" s="5"/>
      <c r="Z197" s="5"/>
      <c r="AC197" s="44"/>
    </row>
    <row r="198">
      <c r="Y198" s="5"/>
      <c r="Z198" s="5"/>
      <c r="AC198" s="44"/>
    </row>
    <row r="199">
      <c r="Y199" s="5"/>
      <c r="Z199" s="5"/>
      <c r="AC199" s="44"/>
    </row>
    <row r="200">
      <c r="Y200" s="5"/>
      <c r="Z200" s="5"/>
      <c r="AC200" s="44"/>
    </row>
    <row r="201">
      <c r="Y201" s="5"/>
      <c r="Z201" s="5"/>
      <c r="AC201" s="44"/>
    </row>
    <row r="202">
      <c r="Y202" s="5"/>
      <c r="Z202" s="5"/>
      <c r="AC202" s="44"/>
    </row>
    <row r="203">
      <c r="Y203" s="5"/>
      <c r="Z203" s="5"/>
      <c r="AC203" s="44"/>
    </row>
    <row r="204">
      <c r="Y204" s="5"/>
      <c r="Z204" s="5"/>
      <c r="AC204" s="44"/>
    </row>
    <row r="205">
      <c r="Y205" s="5"/>
      <c r="Z205" s="5"/>
      <c r="AC205" s="44"/>
    </row>
    <row r="206">
      <c r="Y206" s="5"/>
      <c r="Z206" s="5"/>
      <c r="AC206" s="44"/>
    </row>
    <row r="207">
      <c r="Y207" s="5"/>
      <c r="Z207" s="5"/>
      <c r="AC207" s="44"/>
    </row>
    <row r="208">
      <c r="Y208" s="5"/>
      <c r="Z208" s="5"/>
      <c r="AC208" s="44"/>
    </row>
    <row r="209">
      <c r="Y209" s="5"/>
      <c r="Z209" s="5"/>
      <c r="AC209" s="44"/>
    </row>
    <row r="210">
      <c r="Y210" s="5"/>
      <c r="Z210" s="5"/>
      <c r="AC210" s="44"/>
    </row>
    <row r="211">
      <c r="Y211" s="5"/>
      <c r="Z211" s="5"/>
      <c r="AC211" s="44"/>
    </row>
    <row r="212">
      <c r="Y212" s="5"/>
      <c r="Z212" s="5"/>
      <c r="AC212" s="44"/>
    </row>
    <row r="213">
      <c r="Y213" s="5"/>
      <c r="Z213" s="5"/>
      <c r="AC213" s="44"/>
    </row>
    <row r="214">
      <c r="Y214" s="5"/>
      <c r="Z214" s="5"/>
      <c r="AC214" s="44"/>
    </row>
    <row r="215">
      <c r="Y215" s="5"/>
      <c r="Z215" s="5"/>
      <c r="AC215" s="44"/>
    </row>
    <row r="216">
      <c r="Y216" s="5"/>
      <c r="Z216" s="5"/>
      <c r="AC216" s="44"/>
    </row>
    <row r="217">
      <c r="Y217" s="5"/>
      <c r="Z217" s="5"/>
      <c r="AC217" s="44"/>
    </row>
    <row r="218">
      <c r="Y218" s="5"/>
      <c r="Z218" s="5"/>
      <c r="AC218" s="44"/>
    </row>
    <row r="219">
      <c r="Y219" s="5"/>
      <c r="Z219" s="5"/>
      <c r="AC219" s="44"/>
    </row>
    <row r="220">
      <c r="Y220" s="5"/>
      <c r="Z220" s="5"/>
      <c r="AC220" s="44"/>
    </row>
    <row r="221">
      <c r="Y221" s="5"/>
      <c r="Z221" s="5"/>
      <c r="AC221" s="44"/>
    </row>
    <row r="222">
      <c r="Y222" s="5"/>
      <c r="Z222" s="5"/>
      <c r="AC222" s="44"/>
    </row>
    <row r="223">
      <c r="Y223" s="5"/>
      <c r="Z223" s="5"/>
      <c r="AC223" s="44"/>
    </row>
    <row r="224">
      <c r="Y224" s="5"/>
      <c r="Z224" s="5"/>
      <c r="AC224" s="44"/>
    </row>
    <row r="225">
      <c r="Y225" s="5"/>
      <c r="Z225" s="5"/>
      <c r="AC225" s="44"/>
    </row>
    <row r="226">
      <c r="Y226" s="5"/>
      <c r="Z226" s="5"/>
      <c r="AC226" s="44"/>
    </row>
    <row r="227">
      <c r="Y227" s="5"/>
      <c r="Z227" s="5"/>
      <c r="AC227" s="44"/>
    </row>
    <row r="228">
      <c r="Y228" s="5"/>
      <c r="Z228" s="5"/>
      <c r="AC228" s="44"/>
    </row>
    <row r="229">
      <c r="Y229" s="5"/>
      <c r="Z229" s="5"/>
      <c r="AC229" s="44"/>
    </row>
    <row r="230">
      <c r="Y230" s="5"/>
      <c r="Z230" s="5"/>
      <c r="AC230" s="44"/>
    </row>
    <row r="231">
      <c r="Y231" s="5"/>
      <c r="Z231" s="5"/>
      <c r="AC231" s="44"/>
    </row>
    <row r="232">
      <c r="Y232" s="5"/>
      <c r="Z232" s="5"/>
      <c r="AC232" s="44"/>
    </row>
    <row r="233">
      <c r="Y233" s="5"/>
      <c r="Z233" s="5"/>
      <c r="AC233" s="44"/>
    </row>
    <row r="234">
      <c r="Y234" s="5"/>
      <c r="Z234" s="5"/>
      <c r="AC234" s="44"/>
    </row>
    <row r="235">
      <c r="Y235" s="5"/>
      <c r="Z235" s="5"/>
      <c r="AC235" s="44"/>
    </row>
    <row r="236">
      <c r="Y236" s="5"/>
      <c r="Z236" s="5"/>
      <c r="AC236" s="44"/>
    </row>
    <row r="237">
      <c r="Y237" s="5"/>
      <c r="Z237" s="5"/>
      <c r="AC237" s="44"/>
    </row>
    <row r="238">
      <c r="Y238" s="5"/>
      <c r="Z238" s="5"/>
      <c r="AC238" s="44"/>
    </row>
    <row r="239">
      <c r="Y239" s="5"/>
      <c r="Z239" s="5"/>
      <c r="AC239" s="44"/>
    </row>
    <row r="240">
      <c r="Y240" s="5"/>
      <c r="Z240" s="5"/>
      <c r="AC240" s="44"/>
    </row>
    <row r="241">
      <c r="Y241" s="5"/>
      <c r="Z241" s="5"/>
      <c r="AC241" s="44"/>
    </row>
    <row r="242">
      <c r="Y242" s="5"/>
      <c r="Z242" s="5"/>
      <c r="AC242" s="44"/>
    </row>
    <row r="243">
      <c r="Y243" s="5"/>
      <c r="Z243" s="5"/>
      <c r="AC243" s="44"/>
    </row>
    <row r="244">
      <c r="Y244" s="5"/>
      <c r="Z244" s="5"/>
      <c r="AC244" s="44"/>
    </row>
    <row r="245">
      <c r="Y245" s="5"/>
      <c r="Z245" s="5"/>
      <c r="AC245" s="44"/>
    </row>
    <row r="246">
      <c r="Y246" s="5"/>
      <c r="Z246" s="5"/>
      <c r="AC246" s="44"/>
    </row>
    <row r="247">
      <c r="Y247" s="5"/>
      <c r="Z247" s="5"/>
      <c r="AC247" s="44"/>
    </row>
    <row r="248">
      <c r="Y248" s="5"/>
      <c r="Z248" s="5"/>
      <c r="AC248" s="44"/>
    </row>
    <row r="249">
      <c r="Y249" s="5"/>
      <c r="Z249" s="5"/>
      <c r="AC249" s="44"/>
    </row>
    <row r="250">
      <c r="Y250" s="5"/>
      <c r="Z250" s="5"/>
      <c r="AC250" s="44"/>
    </row>
    <row r="251">
      <c r="Y251" s="5"/>
      <c r="Z251" s="5"/>
      <c r="AC251" s="44"/>
    </row>
    <row r="252">
      <c r="Y252" s="5"/>
      <c r="Z252" s="5"/>
      <c r="AC252" s="44"/>
    </row>
    <row r="253">
      <c r="Y253" s="5"/>
      <c r="Z253" s="5"/>
      <c r="AC253" s="44"/>
    </row>
    <row r="254">
      <c r="Y254" s="5"/>
      <c r="Z254" s="5"/>
      <c r="AC254" s="44"/>
    </row>
    <row r="255">
      <c r="Y255" s="5"/>
      <c r="Z255" s="5"/>
      <c r="AC255" s="44"/>
    </row>
    <row r="256">
      <c r="Y256" s="5"/>
      <c r="Z256" s="5"/>
      <c r="AC256" s="44"/>
    </row>
    <row r="257">
      <c r="Y257" s="5"/>
      <c r="Z257" s="5"/>
      <c r="AC257" s="44"/>
    </row>
    <row r="258">
      <c r="Y258" s="5"/>
      <c r="Z258" s="5"/>
      <c r="AC258" s="44"/>
    </row>
    <row r="259">
      <c r="Y259" s="5"/>
      <c r="Z259" s="5"/>
      <c r="AC259" s="44"/>
    </row>
    <row r="260">
      <c r="Y260" s="5"/>
      <c r="Z260" s="5"/>
      <c r="AC260" s="44"/>
    </row>
    <row r="261">
      <c r="Y261" s="5"/>
      <c r="Z261" s="5"/>
      <c r="AC261" s="44"/>
    </row>
    <row r="262">
      <c r="Y262" s="5"/>
      <c r="Z262" s="5"/>
      <c r="AC262" s="44"/>
    </row>
    <row r="263">
      <c r="Y263" s="5"/>
      <c r="Z263" s="5"/>
      <c r="AC263" s="44"/>
    </row>
    <row r="264">
      <c r="Y264" s="5"/>
      <c r="Z264" s="5"/>
      <c r="AC264" s="44"/>
    </row>
    <row r="265">
      <c r="Y265" s="5"/>
      <c r="Z265" s="5"/>
      <c r="AC265" s="44"/>
    </row>
    <row r="266">
      <c r="Y266" s="5"/>
      <c r="Z266" s="5"/>
      <c r="AC266" s="44"/>
    </row>
    <row r="267">
      <c r="Y267" s="5"/>
      <c r="Z267" s="5"/>
      <c r="AC267" s="44"/>
    </row>
    <row r="268">
      <c r="Y268" s="5"/>
      <c r="Z268" s="5"/>
      <c r="AC268" s="44"/>
    </row>
    <row r="269">
      <c r="Y269" s="5"/>
      <c r="Z269" s="5"/>
      <c r="AC269" s="44"/>
    </row>
    <row r="270">
      <c r="Y270" s="5"/>
      <c r="Z270" s="5"/>
      <c r="AC270" s="44"/>
    </row>
    <row r="271">
      <c r="Y271" s="5"/>
      <c r="Z271" s="5"/>
      <c r="AC271" s="44"/>
    </row>
    <row r="272">
      <c r="Y272" s="5"/>
      <c r="Z272" s="5"/>
      <c r="AC272" s="44"/>
    </row>
    <row r="273">
      <c r="Y273" s="5"/>
      <c r="Z273" s="5"/>
      <c r="AC273" s="44"/>
    </row>
    <row r="274">
      <c r="Y274" s="5"/>
      <c r="Z274" s="5"/>
      <c r="AC274" s="44"/>
    </row>
    <row r="275">
      <c r="Y275" s="5"/>
      <c r="Z275" s="5"/>
      <c r="AC275" s="44"/>
    </row>
    <row r="276">
      <c r="Y276" s="5"/>
      <c r="Z276" s="5"/>
      <c r="AC276" s="44"/>
    </row>
    <row r="277">
      <c r="Y277" s="5"/>
      <c r="Z277" s="5"/>
      <c r="AC277" s="44"/>
    </row>
    <row r="278">
      <c r="Y278" s="5"/>
      <c r="Z278" s="5"/>
      <c r="AC278" s="44"/>
    </row>
    <row r="279">
      <c r="Y279" s="5"/>
      <c r="Z279" s="5"/>
      <c r="AC279" s="44"/>
    </row>
    <row r="280">
      <c r="Y280" s="5"/>
      <c r="Z280" s="5"/>
      <c r="AC280" s="44"/>
    </row>
    <row r="281">
      <c r="Y281" s="5"/>
      <c r="Z281" s="5"/>
      <c r="AC281" s="44"/>
    </row>
    <row r="282">
      <c r="Y282" s="5"/>
      <c r="Z282" s="5"/>
      <c r="AC282" s="44"/>
    </row>
    <row r="283">
      <c r="Y283" s="5"/>
      <c r="Z283" s="5"/>
      <c r="AC283" s="44"/>
    </row>
    <row r="284">
      <c r="Y284" s="5"/>
      <c r="Z284" s="5"/>
      <c r="AC284" s="44"/>
    </row>
    <row r="285">
      <c r="Y285" s="5"/>
      <c r="Z285" s="5"/>
      <c r="AC285" s="44"/>
    </row>
    <row r="286">
      <c r="Y286" s="5"/>
      <c r="Z286" s="5"/>
      <c r="AC286" s="44"/>
    </row>
    <row r="287">
      <c r="Y287" s="5"/>
      <c r="Z287" s="5"/>
      <c r="AC287" s="44"/>
    </row>
    <row r="288">
      <c r="Y288" s="5"/>
      <c r="Z288" s="5"/>
      <c r="AC288" s="44"/>
    </row>
    <row r="289">
      <c r="Y289" s="5"/>
      <c r="Z289" s="5"/>
      <c r="AC289" s="44"/>
    </row>
    <row r="290">
      <c r="Y290" s="5"/>
      <c r="Z290" s="5"/>
      <c r="AC290" s="44"/>
    </row>
    <row r="291">
      <c r="Y291" s="5"/>
      <c r="Z291" s="5"/>
      <c r="AC291" s="44"/>
    </row>
    <row r="292">
      <c r="Y292" s="5"/>
      <c r="Z292" s="5"/>
      <c r="AC292" s="44"/>
    </row>
    <row r="293">
      <c r="Y293" s="5"/>
      <c r="Z293" s="5"/>
      <c r="AC293" s="44"/>
    </row>
    <row r="294">
      <c r="Y294" s="5"/>
      <c r="Z294" s="5"/>
      <c r="AC294" s="44"/>
    </row>
    <row r="295">
      <c r="Y295" s="5"/>
      <c r="Z295" s="5"/>
      <c r="AC295" s="44"/>
    </row>
    <row r="296">
      <c r="Y296" s="5"/>
      <c r="Z296" s="5"/>
      <c r="AC296" s="44"/>
    </row>
    <row r="297">
      <c r="Y297" s="5"/>
      <c r="Z297" s="5"/>
      <c r="AC297" s="44"/>
    </row>
    <row r="298">
      <c r="Y298" s="5"/>
      <c r="Z298" s="5"/>
      <c r="AC298" s="44"/>
    </row>
    <row r="299">
      <c r="Y299" s="5"/>
      <c r="Z299" s="5"/>
      <c r="AC299" s="44"/>
    </row>
    <row r="300">
      <c r="Y300" s="5"/>
      <c r="Z300" s="5"/>
      <c r="AC300" s="44"/>
    </row>
    <row r="301">
      <c r="Y301" s="5"/>
      <c r="Z301" s="5"/>
      <c r="AC301" s="44"/>
    </row>
    <row r="302">
      <c r="Y302" s="5"/>
      <c r="Z302" s="5"/>
      <c r="AC302" s="44"/>
    </row>
    <row r="303">
      <c r="Y303" s="5"/>
      <c r="Z303" s="5"/>
      <c r="AC303" s="44"/>
    </row>
    <row r="304">
      <c r="Y304" s="5"/>
      <c r="Z304" s="5"/>
      <c r="AC304" s="44"/>
    </row>
    <row r="305">
      <c r="Y305" s="5"/>
      <c r="Z305" s="5"/>
      <c r="AC305" s="44"/>
    </row>
    <row r="306">
      <c r="Y306" s="5"/>
      <c r="Z306" s="5"/>
      <c r="AC306" s="44"/>
    </row>
    <row r="307">
      <c r="Y307" s="5"/>
      <c r="Z307" s="5"/>
      <c r="AC307" s="44"/>
    </row>
    <row r="308">
      <c r="Y308" s="5"/>
      <c r="Z308" s="5"/>
      <c r="AC308" s="44"/>
    </row>
    <row r="309">
      <c r="Y309" s="5"/>
      <c r="Z309" s="5"/>
      <c r="AC309" s="44"/>
    </row>
    <row r="310">
      <c r="Y310" s="5"/>
      <c r="Z310" s="5"/>
      <c r="AC310" s="44"/>
    </row>
    <row r="311">
      <c r="Y311" s="5"/>
      <c r="Z311" s="5"/>
      <c r="AC311" s="44"/>
    </row>
    <row r="312">
      <c r="Y312" s="5"/>
      <c r="Z312" s="5"/>
      <c r="AC312" s="44"/>
    </row>
    <row r="313">
      <c r="Y313" s="5"/>
      <c r="Z313" s="5"/>
      <c r="AC313" s="44"/>
    </row>
    <row r="314">
      <c r="Y314" s="5"/>
      <c r="Z314" s="5"/>
      <c r="AC314" s="44"/>
    </row>
    <row r="315">
      <c r="Y315" s="5"/>
      <c r="Z315" s="5"/>
      <c r="AC315" s="44"/>
    </row>
    <row r="316">
      <c r="Y316" s="5"/>
      <c r="Z316" s="5"/>
      <c r="AC316" s="44"/>
    </row>
    <row r="317">
      <c r="Y317" s="5"/>
      <c r="Z317" s="5"/>
      <c r="AC317" s="44"/>
    </row>
    <row r="318">
      <c r="Y318" s="5"/>
      <c r="Z318" s="5"/>
      <c r="AC318" s="44"/>
    </row>
    <row r="319">
      <c r="Y319" s="5"/>
      <c r="Z319" s="5"/>
      <c r="AC319" s="44"/>
    </row>
    <row r="320">
      <c r="Y320" s="5"/>
      <c r="Z320" s="5"/>
      <c r="AC320" s="44"/>
    </row>
    <row r="321">
      <c r="Y321" s="5"/>
      <c r="Z321" s="5"/>
      <c r="AC321" s="44"/>
    </row>
    <row r="322">
      <c r="Y322" s="5"/>
      <c r="Z322" s="5"/>
      <c r="AC322" s="44"/>
    </row>
    <row r="323">
      <c r="Y323" s="5"/>
      <c r="Z323" s="5"/>
      <c r="AC323" s="44"/>
    </row>
    <row r="324">
      <c r="Y324" s="5"/>
      <c r="Z324" s="5"/>
      <c r="AC324" s="44"/>
    </row>
    <row r="325">
      <c r="Y325" s="5"/>
      <c r="Z325" s="5"/>
      <c r="AC325" s="44"/>
    </row>
    <row r="326">
      <c r="Y326" s="5"/>
      <c r="Z326" s="5"/>
      <c r="AC326" s="44"/>
    </row>
    <row r="327">
      <c r="Y327" s="5"/>
      <c r="Z327" s="5"/>
      <c r="AC327" s="44"/>
    </row>
    <row r="328">
      <c r="Y328" s="5"/>
      <c r="Z328" s="5"/>
      <c r="AC328" s="44"/>
    </row>
    <row r="329">
      <c r="Y329" s="5"/>
      <c r="Z329" s="5"/>
      <c r="AC329" s="44"/>
    </row>
    <row r="330">
      <c r="Y330" s="5"/>
      <c r="Z330" s="5"/>
      <c r="AC330" s="44"/>
    </row>
    <row r="331">
      <c r="Y331" s="5"/>
      <c r="Z331" s="5"/>
      <c r="AC331" s="44"/>
    </row>
    <row r="332">
      <c r="Y332" s="5"/>
      <c r="Z332" s="5"/>
      <c r="AC332" s="44"/>
    </row>
    <row r="333">
      <c r="Y333" s="5"/>
      <c r="Z333" s="5"/>
      <c r="AC333" s="44"/>
    </row>
    <row r="334">
      <c r="Y334" s="5"/>
      <c r="Z334" s="5"/>
      <c r="AC334" s="44"/>
    </row>
    <row r="335">
      <c r="Y335" s="5"/>
      <c r="Z335" s="5"/>
      <c r="AC335" s="44"/>
    </row>
    <row r="336">
      <c r="Y336" s="5"/>
      <c r="Z336" s="5"/>
      <c r="AC336" s="44"/>
    </row>
    <row r="337">
      <c r="Y337" s="5"/>
      <c r="Z337" s="5"/>
      <c r="AC337" s="44"/>
    </row>
    <row r="338">
      <c r="Y338" s="5"/>
      <c r="Z338" s="5"/>
      <c r="AC338" s="44"/>
    </row>
    <row r="339">
      <c r="Y339" s="5"/>
      <c r="Z339" s="5"/>
      <c r="AC339" s="44"/>
    </row>
    <row r="340">
      <c r="Y340" s="5"/>
      <c r="Z340" s="5"/>
      <c r="AC340" s="44"/>
    </row>
    <row r="341">
      <c r="Y341" s="5"/>
      <c r="Z341" s="5"/>
      <c r="AC341" s="44"/>
    </row>
    <row r="342">
      <c r="Y342" s="5"/>
      <c r="Z342" s="5"/>
      <c r="AC342" s="44"/>
    </row>
    <row r="343">
      <c r="Y343" s="5"/>
      <c r="Z343" s="5"/>
      <c r="AC343" s="44"/>
    </row>
    <row r="344">
      <c r="Y344" s="5"/>
      <c r="Z344" s="5"/>
      <c r="AC344" s="44"/>
    </row>
    <row r="345">
      <c r="Y345" s="5"/>
      <c r="Z345" s="5"/>
      <c r="AC345" s="44"/>
    </row>
    <row r="346">
      <c r="Y346" s="5"/>
      <c r="Z346" s="5"/>
      <c r="AC346" s="44"/>
    </row>
    <row r="347">
      <c r="Y347" s="5"/>
      <c r="Z347" s="5"/>
      <c r="AC347" s="44"/>
    </row>
    <row r="348">
      <c r="Y348" s="5"/>
      <c r="Z348" s="5"/>
      <c r="AC348" s="44"/>
    </row>
    <row r="349">
      <c r="Y349" s="5"/>
      <c r="Z349" s="5"/>
      <c r="AC349" s="44"/>
    </row>
    <row r="350">
      <c r="Y350" s="5"/>
      <c r="Z350" s="5"/>
      <c r="AC350" s="44"/>
    </row>
    <row r="351">
      <c r="Y351" s="5"/>
      <c r="Z351" s="5"/>
      <c r="AC351" s="44"/>
    </row>
    <row r="352">
      <c r="Y352" s="5"/>
      <c r="Z352" s="5"/>
      <c r="AC352" s="44"/>
    </row>
    <row r="353">
      <c r="Y353" s="5"/>
      <c r="Z353" s="5"/>
      <c r="AC353" s="44"/>
    </row>
    <row r="354">
      <c r="Y354" s="5"/>
      <c r="Z354" s="5"/>
      <c r="AC354" s="44"/>
    </row>
    <row r="355">
      <c r="Y355" s="5"/>
      <c r="Z355" s="5"/>
      <c r="AC355" s="44"/>
    </row>
    <row r="356">
      <c r="Y356" s="5"/>
      <c r="Z356" s="5"/>
      <c r="AC356" s="44"/>
    </row>
    <row r="357">
      <c r="Y357" s="5"/>
      <c r="Z357" s="5"/>
      <c r="AC357" s="44"/>
    </row>
    <row r="358">
      <c r="Y358" s="5"/>
      <c r="Z358" s="5"/>
      <c r="AC358" s="44"/>
    </row>
    <row r="359">
      <c r="Y359" s="5"/>
      <c r="Z359" s="5"/>
      <c r="AC359" s="44"/>
    </row>
    <row r="360">
      <c r="Y360" s="5"/>
      <c r="Z360" s="5"/>
      <c r="AC360" s="44"/>
    </row>
    <row r="361">
      <c r="Y361" s="5"/>
      <c r="Z361" s="5"/>
      <c r="AC361" s="44"/>
    </row>
    <row r="362">
      <c r="Y362" s="5"/>
      <c r="Z362" s="5"/>
      <c r="AC362" s="44"/>
    </row>
    <row r="363">
      <c r="Y363" s="5"/>
      <c r="Z363" s="5"/>
      <c r="AC363" s="44"/>
    </row>
    <row r="364">
      <c r="Y364" s="5"/>
      <c r="Z364" s="5"/>
      <c r="AC364" s="44"/>
    </row>
    <row r="365">
      <c r="Y365" s="5"/>
      <c r="Z365" s="5"/>
      <c r="AC365" s="44"/>
    </row>
    <row r="366">
      <c r="Y366" s="5"/>
      <c r="Z366" s="5"/>
      <c r="AC366" s="44"/>
    </row>
    <row r="367">
      <c r="Y367" s="5"/>
      <c r="Z367" s="5"/>
      <c r="AC367" s="44"/>
    </row>
    <row r="368">
      <c r="Y368" s="5"/>
      <c r="Z368" s="5"/>
      <c r="AC368" s="44"/>
    </row>
    <row r="369">
      <c r="Y369" s="5"/>
      <c r="Z369" s="5"/>
      <c r="AC369" s="44"/>
    </row>
    <row r="370">
      <c r="Y370" s="5"/>
      <c r="Z370" s="5"/>
      <c r="AC370" s="44"/>
    </row>
    <row r="371">
      <c r="Y371" s="5"/>
      <c r="Z371" s="5"/>
      <c r="AC371" s="44"/>
    </row>
    <row r="372">
      <c r="Y372" s="5"/>
      <c r="Z372" s="5"/>
      <c r="AC372" s="44"/>
    </row>
    <row r="373">
      <c r="Y373" s="5"/>
      <c r="Z373" s="5"/>
      <c r="AC373" s="44"/>
    </row>
    <row r="374">
      <c r="Y374" s="5"/>
      <c r="Z374" s="5"/>
      <c r="AC374" s="44"/>
    </row>
    <row r="375">
      <c r="Y375" s="5"/>
      <c r="Z375" s="5"/>
      <c r="AC375" s="44"/>
    </row>
    <row r="376">
      <c r="Y376" s="5"/>
      <c r="Z376" s="5"/>
      <c r="AC376" s="44"/>
    </row>
    <row r="377">
      <c r="Y377" s="5"/>
      <c r="Z377" s="5"/>
      <c r="AC377" s="44"/>
    </row>
    <row r="378">
      <c r="Y378" s="5"/>
      <c r="Z378" s="5"/>
      <c r="AC378" s="44"/>
    </row>
    <row r="379">
      <c r="Y379" s="5"/>
      <c r="Z379" s="5"/>
      <c r="AC379" s="44"/>
    </row>
    <row r="380">
      <c r="Y380" s="5"/>
      <c r="Z380" s="5"/>
      <c r="AC380" s="44"/>
    </row>
    <row r="381">
      <c r="Y381" s="5"/>
      <c r="Z381" s="5"/>
      <c r="AC381" s="44"/>
    </row>
    <row r="382">
      <c r="Y382" s="5"/>
      <c r="Z382" s="5"/>
      <c r="AC382" s="44"/>
    </row>
    <row r="383">
      <c r="Y383" s="5"/>
      <c r="Z383" s="5"/>
      <c r="AC383" s="44"/>
    </row>
    <row r="384">
      <c r="Y384" s="5"/>
      <c r="Z384" s="5"/>
      <c r="AC384" s="44"/>
    </row>
    <row r="385">
      <c r="Y385" s="5"/>
      <c r="Z385" s="5"/>
      <c r="AC385" s="44"/>
    </row>
    <row r="386">
      <c r="Y386" s="5"/>
      <c r="Z386" s="5"/>
      <c r="AC386" s="44"/>
    </row>
    <row r="387">
      <c r="Y387" s="5"/>
      <c r="Z387" s="5"/>
      <c r="AC387" s="44"/>
    </row>
    <row r="388">
      <c r="Y388" s="5"/>
      <c r="Z388" s="5"/>
      <c r="AC388" s="44"/>
    </row>
    <row r="389">
      <c r="Y389" s="5"/>
      <c r="Z389" s="5"/>
      <c r="AC389" s="44"/>
    </row>
    <row r="390">
      <c r="Y390" s="5"/>
      <c r="Z390" s="5"/>
      <c r="AC390" s="44"/>
    </row>
    <row r="391">
      <c r="Y391" s="5"/>
      <c r="Z391" s="5"/>
      <c r="AC391" s="44"/>
    </row>
    <row r="392">
      <c r="Y392" s="5"/>
      <c r="Z392" s="5"/>
      <c r="AC392" s="44"/>
    </row>
    <row r="393">
      <c r="Y393" s="5"/>
      <c r="Z393" s="5"/>
      <c r="AC393" s="44"/>
    </row>
    <row r="394">
      <c r="Y394" s="5"/>
      <c r="Z394" s="5"/>
      <c r="AC394" s="44"/>
    </row>
    <row r="395">
      <c r="Y395" s="5"/>
      <c r="Z395" s="5"/>
      <c r="AC395" s="44"/>
    </row>
    <row r="396">
      <c r="Y396" s="5"/>
      <c r="Z396" s="5"/>
      <c r="AC396" s="44"/>
    </row>
    <row r="397">
      <c r="Y397" s="5"/>
      <c r="Z397" s="5"/>
      <c r="AC397" s="44"/>
    </row>
    <row r="398">
      <c r="Y398" s="5"/>
      <c r="Z398" s="5"/>
      <c r="AC398" s="44"/>
    </row>
    <row r="399">
      <c r="Y399" s="5"/>
      <c r="Z399" s="5"/>
      <c r="AC399" s="44"/>
    </row>
    <row r="400">
      <c r="Y400" s="5"/>
      <c r="Z400" s="5"/>
      <c r="AC400" s="44"/>
    </row>
    <row r="401">
      <c r="Y401" s="5"/>
      <c r="Z401" s="5"/>
      <c r="AC401" s="44"/>
    </row>
    <row r="402">
      <c r="Y402" s="5"/>
      <c r="Z402" s="5"/>
      <c r="AC402" s="44"/>
    </row>
    <row r="403">
      <c r="Y403" s="5"/>
      <c r="Z403" s="5"/>
      <c r="AC403" s="44"/>
    </row>
    <row r="404">
      <c r="Y404" s="5"/>
      <c r="Z404" s="5"/>
      <c r="AC404" s="44"/>
    </row>
    <row r="405">
      <c r="Y405" s="5"/>
      <c r="Z405" s="5"/>
      <c r="AC405" s="44"/>
    </row>
    <row r="406">
      <c r="Y406" s="5"/>
      <c r="Z406" s="5"/>
      <c r="AC406" s="44"/>
    </row>
    <row r="407">
      <c r="Y407" s="5"/>
      <c r="Z407" s="5"/>
      <c r="AC407" s="44"/>
    </row>
    <row r="408">
      <c r="Y408" s="5"/>
      <c r="Z408" s="5"/>
      <c r="AC408" s="44"/>
    </row>
    <row r="409">
      <c r="Y409" s="5"/>
      <c r="Z409" s="5"/>
      <c r="AC409" s="44"/>
    </row>
    <row r="410">
      <c r="Y410" s="5"/>
      <c r="Z410" s="5"/>
      <c r="AC410" s="44"/>
    </row>
    <row r="411">
      <c r="Y411" s="5"/>
      <c r="Z411" s="5"/>
      <c r="AC411" s="44"/>
    </row>
    <row r="412">
      <c r="Y412" s="5"/>
      <c r="Z412" s="5"/>
      <c r="AC412" s="44"/>
    </row>
    <row r="413">
      <c r="Y413" s="5"/>
      <c r="Z413" s="5"/>
      <c r="AC413" s="44"/>
    </row>
    <row r="414">
      <c r="Y414" s="5"/>
      <c r="Z414" s="5"/>
      <c r="AC414" s="44"/>
    </row>
    <row r="415">
      <c r="Y415" s="5"/>
      <c r="Z415" s="5"/>
      <c r="AC415" s="44"/>
    </row>
    <row r="416">
      <c r="Y416" s="5"/>
      <c r="Z416" s="5"/>
      <c r="AC416" s="44"/>
    </row>
    <row r="417">
      <c r="Y417" s="5"/>
      <c r="Z417" s="5"/>
      <c r="AC417" s="44"/>
    </row>
    <row r="418">
      <c r="Y418" s="5"/>
      <c r="Z418" s="5"/>
      <c r="AC418" s="44"/>
    </row>
    <row r="419">
      <c r="Y419" s="5"/>
      <c r="Z419" s="5"/>
      <c r="AC419" s="44"/>
    </row>
    <row r="420">
      <c r="Y420" s="5"/>
      <c r="Z420" s="5"/>
      <c r="AC420" s="44"/>
    </row>
    <row r="421">
      <c r="Y421" s="5"/>
      <c r="Z421" s="5"/>
      <c r="AC421" s="44"/>
    </row>
    <row r="422">
      <c r="Y422" s="5"/>
      <c r="Z422" s="5"/>
      <c r="AC422" s="44"/>
    </row>
    <row r="423">
      <c r="Y423" s="5"/>
      <c r="Z423" s="5"/>
      <c r="AC423" s="44"/>
    </row>
    <row r="424">
      <c r="Y424" s="5"/>
      <c r="Z424" s="5"/>
      <c r="AC424" s="44"/>
    </row>
    <row r="425">
      <c r="Y425" s="5"/>
      <c r="Z425" s="5"/>
      <c r="AC425" s="44"/>
    </row>
    <row r="426">
      <c r="Y426" s="5"/>
      <c r="Z426" s="5"/>
      <c r="AC426" s="44"/>
    </row>
    <row r="427">
      <c r="Y427" s="5"/>
      <c r="Z427" s="5"/>
      <c r="AC427" s="44"/>
    </row>
    <row r="428">
      <c r="Y428" s="5"/>
      <c r="Z428" s="5"/>
      <c r="AC428" s="44"/>
    </row>
    <row r="429">
      <c r="Y429" s="5"/>
      <c r="Z429" s="5"/>
      <c r="AC429" s="44"/>
    </row>
    <row r="430">
      <c r="Y430" s="5"/>
      <c r="Z430" s="5"/>
      <c r="AC430" s="44"/>
    </row>
    <row r="431">
      <c r="Y431" s="5"/>
      <c r="Z431" s="5"/>
      <c r="AC431" s="44"/>
    </row>
    <row r="432">
      <c r="Y432" s="5"/>
      <c r="Z432" s="5"/>
      <c r="AC432" s="44"/>
    </row>
    <row r="433">
      <c r="Y433" s="5"/>
      <c r="Z433" s="5"/>
      <c r="AC433" s="44"/>
    </row>
    <row r="434">
      <c r="Y434" s="5"/>
      <c r="Z434" s="5"/>
      <c r="AC434" s="44"/>
    </row>
    <row r="435">
      <c r="Y435" s="5"/>
      <c r="Z435" s="5"/>
      <c r="AC435" s="44"/>
    </row>
    <row r="436">
      <c r="Y436" s="5"/>
      <c r="Z436" s="5"/>
      <c r="AC436" s="44"/>
    </row>
    <row r="437">
      <c r="Y437" s="5"/>
      <c r="Z437" s="5"/>
      <c r="AC437" s="44"/>
    </row>
    <row r="438">
      <c r="Y438" s="5"/>
      <c r="Z438" s="5"/>
      <c r="AC438" s="44"/>
    </row>
    <row r="439">
      <c r="Y439" s="5"/>
      <c r="Z439" s="5"/>
      <c r="AC439" s="44"/>
    </row>
    <row r="440">
      <c r="Y440" s="5"/>
      <c r="Z440" s="5"/>
      <c r="AC440" s="44"/>
    </row>
    <row r="441">
      <c r="Y441" s="5"/>
      <c r="Z441" s="5"/>
      <c r="AC441" s="44"/>
    </row>
    <row r="442">
      <c r="Y442" s="5"/>
      <c r="Z442" s="5"/>
      <c r="AC442" s="44"/>
    </row>
    <row r="443">
      <c r="Y443" s="5"/>
      <c r="Z443" s="5"/>
      <c r="AC443" s="44"/>
    </row>
    <row r="444">
      <c r="Y444" s="5"/>
      <c r="Z444" s="5"/>
      <c r="AC444" s="44"/>
    </row>
    <row r="445">
      <c r="Y445" s="5"/>
      <c r="Z445" s="5"/>
      <c r="AC445" s="44"/>
    </row>
    <row r="446">
      <c r="Y446" s="5"/>
      <c r="Z446" s="5"/>
      <c r="AC446" s="44"/>
    </row>
    <row r="447">
      <c r="Y447" s="5"/>
      <c r="Z447" s="5"/>
      <c r="AC447" s="44"/>
    </row>
    <row r="448">
      <c r="Y448" s="5"/>
      <c r="Z448" s="5"/>
      <c r="AC448" s="44"/>
    </row>
    <row r="449">
      <c r="Y449" s="5"/>
      <c r="Z449" s="5"/>
      <c r="AC449" s="44"/>
    </row>
    <row r="450">
      <c r="Y450" s="5"/>
      <c r="Z450" s="5"/>
      <c r="AC450" s="44"/>
    </row>
    <row r="451">
      <c r="Y451" s="5"/>
      <c r="Z451" s="5"/>
      <c r="AC451" s="44"/>
    </row>
    <row r="452">
      <c r="Y452" s="5"/>
      <c r="Z452" s="5"/>
      <c r="AC452" s="44"/>
    </row>
    <row r="453">
      <c r="Y453" s="5"/>
      <c r="Z453" s="5"/>
      <c r="AC453" s="44"/>
    </row>
    <row r="454">
      <c r="Y454" s="5"/>
      <c r="Z454" s="5"/>
      <c r="AC454" s="44"/>
    </row>
    <row r="455">
      <c r="Y455" s="5"/>
      <c r="Z455" s="5"/>
      <c r="AC455" s="44"/>
    </row>
    <row r="456">
      <c r="Y456" s="5"/>
      <c r="Z456" s="5"/>
      <c r="AC456" s="44"/>
    </row>
    <row r="457">
      <c r="Y457" s="5"/>
      <c r="Z457" s="5"/>
      <c r="AC457" s="44"/>
    </row>
    <row r="458">
      <c r="Y458" s="5"/>
      <c r="Z458" s="5"/>
      <c r="AC458" s="44"/>
    </row>
    <row r="459">
      <c r="Y459" s="5"/>
      <c r="Z459" s="5"/>
      <c r="AC459" s="44"/>
    </row>
    <row r="460">
      <c r="Y460" s="5"/>
      <c r="Z460" s="5"/>
      <c r="AC460" s="44"/>
    </row>
    <row r="461">
      <c r="Y461" s="5"/>
      <c r="Z461" s="5"/>
      <c r="AC461" s="44"/>
    </row>
    <row r="462">
      <c r="Y462" s="5"/>
      <c r="Z462" s="5"/>
      <c r="AC462" s="44"/>
    </row>
    <row r="463">
      <c r="Y463" s="5"/>
      <c r="Z463" s="5"/>
      <c r="AC463" s="44"/>
    </row>
    <row r="464">
      <c r="Y464" s="5"/>
      <c r="Z464" s="5"/>
      <c r="AC464" s="44"/>
    </row>
    <row r="465">
      <c r="Y465" s="5"/>
      <c r="Z465" s="5"/>
      <c r="AC465" s="44"/>
    </row>
    <row r="466">
      <c r="Y466" s="5"/>
      <c r="Z466" s="5"/>
      <c r="AC466" s="44"/>
    </row>
    <row r="467">
      <c r="Y467" s="5"/>
      <c r="Z467" s="5"/>
      <c r="AC467" s="44"/>
    </row>
    <row r="468">
      <c r="Y468" s="5"/>
      <c r="Z468" s="5"/>
      <c r="AC468" s="44"/>
    </row>
    <row r="469">
      <c r="Y469" s="5"/>
      <c r="Z469" s="5"/>
      <c r="AC469" s="44"/>
    </row>
    <row r="470">
      <c r="Y470" s="5"/>
      <c r="Z470" s="5"/>
      <c r="AC470" s="44"/>
    </row>
    <row r="471">
      <c r="Y471" s="5"/>
      <c r="Z471" s="5"/>
      <c r="AC471" s="44"/>
    </row>
    <row r="472">
      <c r="Y472" s="5"/>
      <c r="Z472" s="5"/>
      <c r="AC472" s="44"/>
    </row>
    <row r="473">
      <c r="Y473" s="5"/>
      <c r="Z473" s="5"/>
      <c r="AC473" s="44"/>
    </row>
    <row r="474">
      <c r="Y474" s="5"/>
      <c r="Z474" s="5"/>
      <c r="AC474" s="44"/>
    </row>
    <row r="475">
      <c r="Y475" s="5"/>
      <c r="Z475" s="5"/>
      <c r="AC475" s="44"/>
    </row>
    <row r="476">
      <c r="Y476" s="5"/>
      <c r="Z476" s="5"/>
      <c r="AC476" s="44"/>
    </row>
    <row r="477">
      <c r="Y477" s="5"/>
      <c r="Z477" s="5"/>
      <c r="AC477" s="44"/>
    </row>
    <row r="478">
      <c r="Y478" s="5"/>
      <c r="Z478" s="5"/>
      <c r="AC478" s="44"/>
    </row>
    <row r="479">
      <c r="Y479" s="5"/>
      <c r="Z479" s="5"/>
      <c r="AC479" s="44"/>
    </row>
    <row r="480">
      <c r="Y480" s="5"/>
      <c r="Z480" s="5"/>
      <c r="AC480" s="44"/>
    </row>
    <row r="481">
      <c r="Y481" s="5"/>
      <c r="Z481" s="5"/>
      <c r="AC481" s="44"/>
    </row>
    <row r="482">
      <c r="Y482" s="5"/>
      <c r="Z482" s="5"/>
      <c r="AC482" s="44"/>
    </row>
    <row r="483">
      <c r="Y483" s="5"/>
      <c r="Z483" s="5"/>
      <c r="AC483" s="44"/>
    </row>
    <row r="484">
      <c r="Y484" s="5"/>
      <c r="Z484" s="5"/>
      <c r="AC484" s="44"/>
    </row>
    <row r="485">
      <c r="Y485" s="5"/>
      <c r="Z485" s="5"/>
      <c r="AC485" s="44"/>
    </row>
    <row r="486">
      <c r="Y486" s="5"/>
      <c r="Z486" s="5"/>
      <c r="AC486" s="44"/>
    </row>
    <row r="487">
      <c r="Y487" s="5"/>
      <c r="Z487" s="5"/>
      <c r="AC487" s="44"/>
    </row>
    <row r="488">
      <c r="Y488" s="5"/>
      <c r="Z488" s="5"/>
      <c r="AC488" s="44"/>
    </row>
    <row r="489">
      <c r="Y489" s="5"/>
      <c r="Z489" s="5"/>
      <c r="AC489" s="44"/>
    </row>
    <row r="490">
      <c r="Y490" s="5"/>
      <c r="Z490" s="5"/>
      <c r="AC490" s="44"/>
    </row>
    <row r="491">
      <c r="Y491" s="5"/>
      <c r="Z491" s="5"/>
      <c r="AC491" s="44"/>
    </row>
    <row r="492">
      <c r="Y492" s="5"/>
      <c r="Z492" s="5"/>
      <c r="AC492" s="44"/>
    </row>
    <row r="493">
      <c r="Y493" s="5"/>
      <c r="Z493" s="5"/>
      <c r="AC493" s="44"/>
    </row>
    <row r="494">
      <c r="Y494" s="5"/>
      <c r="Z494" s="5"/>
      <c r="AC494" s="44"/>
    </row>
    <row r="495">
      <c r="Y495" s="5"/>
      <c r="Z495" s="5"/>
      <c r="AC495" s="44"/>
    </row>
    <row r="496">
      <c r="Y496" s="5"/>
      <c r="Z496" s="5"/>
      <c r="AC496" s="44"/>
    </row>
    <row r="497">
      <c r="Y497" s="5"/>
      <c r="Z497" s="5"/>
      <c r="AC497" s="44"/>
    </row>
    <row r="498">
      <c r="Y498" s="5"/>
      <c r="Z498" s="5"/>
      <c r="AC498" s="44"/>
    </row>
    <row r="499">
      <c r="Y499" s="5"/>
      <c r="Z499" s="5"/>
      <c r="AC499" s="44"/>
    </row>
    <row r="500">
      <c r="Y500" s="5"/>
      <c r="Z500" s="5"/>
      <c r="AC500" s="44"/>
    </row>
    <row r="501">
      <c r="Y501" s="5"/>
      <c r="Z501" s="5"/>
      <c r="AC501" s="44"/>
    </row>
    <row r="502">
      <c r="Y502" s="5"/>
      <c r="Z502" s="5"/>
      <c r="AC502" s="44"/>
    </row>
    <row r="503">
      <c r="Y503" s="5"/>
      <c r="Z503" s="5"/>
      <c r="AC503" s="44"/>
    </row>
    <row r="504">
      <c r="Y504" s="5"/>
      <c r="Z504" s="5"/>
      <c r="AC504" s="44"/>
    </row>
    <row r="505">
      <c r="Y505" s="5"/>
      <c r="Z505" s="5"/>
      <c r="AC505" s="44"/>
    </row>
    <row r="506">
      <c r="Y506" s="5"/>
      <c r="Z506" s="5"/>
      <c r="AC506" s="44"/>
    </row>
    <row r="507">
      <c r="Y507" s="5"/>
      <c r="Z507" s="5"/>
      <c r="AC507" s="44"/>
    </row>
    <row r="508">
      <c r="Y508" s="5"/>
      <c r="Z508" s="5"/>
      <c r="AC508" s="44"/>
    </row>
    <row r="509">
      <c r="Y509" s="5"/>
      <c r="Z509" s="5"/>
      <c r="AC509" s="44"/>
    </row>
    <row r="510">
      <c r="Y510" s="5"/>
      <c r="Z510" s="5"/>
      <c r="AC510" s="44"/>
    </row>
    <row r="511">
      <c r="Y511" s="5"/>
      <c r="Z511" s="5"/>
      <c r="AC511" s="44"/>
    </row>
    <row r="512">
      <c r="Y512" s="5"/>
      <c r="Z512" s="5"/>
      <c r="AC512" s="44"/>
    </row>
    <row r="513">
      <c r="Y513" s="5"/>
      <c r="Z513" s="5"/>
      <c r="AC513" s="44"/>
    </row>
    <row r="514">
      <c r="Y514" s="5"/>
      <c r="Z514" s="5"/>
      <c r="AC514" s="44"/>
    </row>
    <row r="515">
      <c r="Y515" s="5"/>
      <c r="Z515" s="5"/>
      <c r="AC515" s="44"/>
    </row>
    <row r="516">
      <c r="Y516" s="5"/>
      <c r="Z516" s="5"/>
      <c r="AC516" s="44"/>
    </row>
    <row r="517">
      <c r="Y517" s="5"/>
      <c r="Z517" s="5"/>
      <c r="AC517" s="44"/>
    </row>
    <row r="518">
      <c r="Y518" s="5"/>
      <c r="Z518" s="5"/>
      <c r="AC518" s="44"/>
    </row>
    <row r="519">
      <c r="Y519" s="5"/>
      <c r="Z519" s="5"/>
      <c r="AC519" s="44"/>
    </row>
    <row r="520">
      <c r="Y520" s="5"/>
      <c r="Z520" s="5"/>
      <c r="AC520" s="44"/>
    </row>
    <row r="521">
      <c r="Y521" s="5"/>
      <c r="Z521" s="5"/>
      <c r="AC521" s="44"/>
    </row>
    <row r="522">
      <c r="Y522" s="5"/>
      <c r="Z522" s="5"/>
      <c r="AC522" s="44"/>
    </row>
    <row r="523">
      <c r="Y523" s="5"/>
      <c r="Z523" s="5"/>
      <c r="AC523" s="44"/>
    </row>
    <row r="524">
      <c r="Y524" s="5"/>
      <c r="Z524" s="5"/>
      <c r="AC524" s="44"/>
    </row>
    <row r="525">
      <c r="Y525" s="5"/>
      <c r="Z525" s="5"/>
      <c r="AC525" s="44"/>
    </row>
    <row r="526">
      <c r="Y526" s="5"/>
      <c r="Z526" s="5"/>
      <c r="AC526" s="44"/>
    </row>
    <row r="527">
      <c r="Y527" s="5"/>
      <c r="Z527" s="5"/>
      <c r="AC527" s="44"/>
    </row>
    <row r="528">
      <c r="Y528" s="5"/>
      <c r="Z528" s="5"/>
      <c r="AC528" s="44"/>
    </row>
    <row r="529">
      <c r="Y529" s="5"/>
      <c r="Z529" s="5"/>
      <c r="AC529" s="44"/>
    </row>
    <row r="530">
      <c r="Y530" s="5"/>
      <c r="Z530" s="5"/>
      <c r="AC530" s="44"/>
    </row>
    <row r="531">
      <c r="Y531" s="5"/>
      <c r="Z531" s="5"/>
      <c r="AC531" s="44"/>
    </row>
    <row r="532">
      <c r="Y532" s="5"/>
      <c r="Z532" s="5"/>
      <c r="AC532" s="44"/>
    </row>
    <row r="533">
      <c r="Y533" s="5"/>
      <c r="Z533" s="5"/>
      <c r="AC533" s="44"/>
    </row>
    <row r="534">
      <c r="Y534" s="5"/>
      <c r="Z534" s="5"/>
      <c r="AC534" s="44"/>
    </row>
    <row r="535">
      <c r="Y535" s="5"/>
      <c r="Z535" s="5"/>
      <c r="AC535" s="44"/>
    </row>
    <row r="536">
      <c r="Y536" s="5"/>
      <c r="Z536" s="5"/>
      <c r="AC536" s="44"/>
    </row>
    <row r="537">
      <c r="Y537" s="5"/>
      <c r="Z537" s="5"/>
      <c r="AC537" s="44"/>
    </row>
    <row r="538">
      <c r="Y538" s="5"/>
      <c r="Z538" s="5"/>
      <c r="AC538" s="44"/>
    </row>
    <row r="539">
      <c r="Y539" s="5"/>
      <c r="Z539" s="5"/>
      <c r="AC539" s="44"/>
    </row>
    <row r="540">
      <c r="Y540" s="5"/>
      <c r="Z540" s="5"/>
      <c r="AC540" s="44"/>
    </row>
    <row r="541">
      <c r="Y541" s="5"/>
      <c r="Z541" s="5"/>
      <c r="AC541" s="44"/>
    </row>
    <row r="542">
      <c r="Y542" s="5"/>
      <c r="Z542" s="5"/>
      <c r="AC542" s="44"/>
    </row>
    <row r="543">
      <c r="Y543" s="5"/>
      <c r="Z543" s="5"/>
      <c r="AC543" s="44"/>
    </row>
    <row r="544">
      <c r="Y544" s="5"/>
      <c r="Z544" s="5"/>
      <c r="AC544" s="44"/>
    </row>
    <row r="545">
      <c r="Y545" s="5"/>
      <c r="Z545" s="5"/>
      <c r="AC545" s="44"/>
    </row>
    <row r="546">
      <c r="Y546" s="5"/>
      <c r="Z546" s="5"/>
      <c r="AC546" s="44"/>
    </row>
    <row r="547">
      <c r="Y547" s="5"/>
      <c r="Z547" s="5"/>
      <c r="AC547" s="44"/>
    </row>
    <row r="548">
      <c r="Y548" s="5"/>
      <c r="Z548" s="5"/>
      <c r="AC548" s="44"/>
    </row>
    <row r="549">
      <c r="Y549" s="5"/>
      <c r="Z549" s="5"/>
      <c r="AC549" s="44"/>
    </row>
    <row r="550">
      <c r="Y550" s="5"/>
      <c r="Z550" s="5"/>
      <c r="AC550" s="44"/>
    </row>
    <row r="551">
      <c r="Y551" s="5"/>
      <c r="Z551" s="5"/>
      <c r="AC551" s="44"/>
    </row>
    <row r="552">
      <c r="Y552" s="5"/>
      <c r="Z552" s="5"/>
      <c r="AC552" s="44"/>
    </row>
    <row r="553">
      <c r="Y553" s="5"/>
      <c r="Z553" s="5"/>
      <c r="AC553" s="44"/>
    </row>
    <row r="554">
      <c r="Y554" s="5"/>
      <c r="Z554" s="5"/>
      <c r="AC554" s="44"/>
    </row>
    <row r="555">
      <c r="Y555" s="5"/>
      <c r="Z555" s="5"/>
      <c r="AC555" s="44"/>
    </row>
    <row r="556">
      <c r="Y556" s="5"/>
      <c r="Z556" s="5"/>
      <c r="AC556" s="44"/>
    </row>
    <row r="557">
      <c r="Y557" s="5"/>
      <c r="Z557" s="5"/>
      <c r="AC557" s="44"/>
    </row>
    <row r="558">
      <c r="Y558" s="5"/>
      <c r="Z558" s="5"/>
      <c r="AC558" s="44"/>
    </row>
    <row r="559">
      <c r="Y559" s="5"/>
      <c r="Z559" s="5"/>
      <c r="AC559" s="44"/>
    </row>
    <row r="560">
      <c r="Y560" s="5"/>
      <c r="Z560" s="5"/>
      <c r="AC560" s="44"/>
    </row>
    <row r="561">
      <c r="Y561" s="5"/>
      <c r="Z561" s="5"/>
      <c r="AC561" s="44"/>
    </row>
    <row r="562">
      <c r="Y562" s="5"/>
      <c r="Z562" s="5"/>
      <c r="AC562" s="44"/>
    </row>
    <row r="563">
      <c r="Y563" s="5"/>
      <c r="Z563" s="5"/>
      <c r="AC563" s="44"/>
    </row>
    <row r="564">
      <c r="Y564" s="5"/>
      <c r="Z564" s="5"/>
      <c r="AC564" s="44"/>
    </row>
    <row r="565">
      <c r="Y565" s="5"/>
      <c r="Z565" s="5"/>
      <c r="AC565" s="44"/>
    </row>
    <row r="566">
      <c r="Y566" s="5"/>
      <c r="Z566" s="5"/>
      <c r="AC566" s="44"/>
    </row>
    <row r="567">
      <c r="Y567" s="5"/>
      <c r="Z567" s="5"/>
      <c r="AC567" s="44"/>
    </row>
    <row r="568">
      <c r="Y568" s="5"/>
      <c r="Z568" s="5"/>
      <c r="AC568" s="44"/>
    </row>
    <row r="569">
      <c r="Y569" s="5"/>
      <c r="Z569" s="5"/>
      <c r="AC569" s="44"/>
    </row>
    <row r="570">
      <c r="Y570" s="5"/>
      <c r="Z570" s="5"/>
      <c r="AC570" s="44"/>
    </row>
    <row r="571">
      <c r="Y571" s="5"/>
      <c r="Z571" s="5"/>
      <c r="AC571" s="44"/>
    </row>
    <row r="572">
      <c r="Y572" s="5"/>
      <c r="Z572" s="5"/>
      <c r="AC572" s="44"/>
    </row>
    <row r="573">
      <c r="Y573" s="5"/>
      <c r="Z573" s="5"/>
      <c r="AC573" s="44"/>
    </row>
    <row r="574">
      <c r="Y574" s="5"/>
      <c r="Z574" s="5"/>
      <c r="AC574" s="44"/>
    </row>
    <row r="575">
      <c r="Y575" s="5"/>
      <c r="Z575" s="5"/>
      <c r="AC575" s="44"/>
    </row>
    <row r="576">
      <c r="Y576" s="5"/>
      <c r="Z576" s="5"/>
      <c r="AC576" s="44"/>
    </row>
    <row r="577">
      <c r="Y577" s="5"/>
      <c r="Z577" s="5"/>
      <c r="AC577" s="44"/>
    </row>
    <row r="578">
      <c r="Y578" s="5"/>
      <c r="Z578" s="5"/>
      <c r="AC578" s="44"/>
    </row>
    <row r="579">
      <c r="Y579" s="5"/>
      <c r="Z579" s="5"/>
      <c r="AC579" s="44"/>
    </row>
    <row r="580">
      <c r="Y580" s="5"/>
      <c r="Z580" s="5"/>
      <c r="AC580" s="44"/>
    </row>
    <row r="581">
      <c r="Y581" s="5"/>
      <c r="Z581" s="5"/>
      <c r="AC581" s="44"/>
    </row>
    <row r="582">
      <c r="Y582" s="5"/>
      <c r="Z582" s="5"/>
      <c r="AC582" s="44"/>
    </row>
    <row r="583">
      <c r="Y583" s="5"/>
      <c r="Z583" s="5"/>
      <c r="AC583" s="44"/>
    </row>
    <row r="584">
      <c r="Y584" s="5"/>
      <c r="Z584" s="5"/>
      <c r="AC584" s="44"/>
    </row>
    <row r="585">
      <c r="Y585" s="5"/>
      <c r="Z585" s="5"/>
      <c r="AC585" s="44"/>
    </row>
    <row r="586">
      <c r="Y586" s="5"/>
      <c r="Z586" s="5"/>
      <c r="AC586" s="44"/>
    </row>
    <row r="587">
      <c r="Y587" s="5"/>
      <c r="Z587" s="5"/>
      <c r="AC587" s="44"/>
    </row>
    <row r="588">
      <c r="Y588" s="5"/>
      <c r="Z588" s="5"/>
      <c r="AC588" s="44"/>
    </row>
    <row r="589">
      <c r="Y589" s="5"/>
      <c r="Z589" s="5"/>
      <c r="AC589" s="44"/>
    </row>
    <row r="590">
      <c r="Y590" s="5"/>
      <c r="Z590" s="5"/>
      <c r="AC590" s="44"/>
    </row>
    <row r="591">
      <c r="Y591" s="5"/>
      <c r="Z591" s="5"/>
      <c r="AC591" s="44"/>
    </row>
    <row r="592">
      <c r="Y592" s="5"/>
      <c r="Z592" s="5"/>
      <c r="AC592" s="44"/>
    </row>
    <row r="593">
      <c r="Y593" s="5"/>
      <c r="Z593" s="5"/>
      <c r="AC593" s="44"/>
    </row>
    <row r="594">
      <c r="Y594" s="5"/>
      <c r="Z594" s="5"/>
      <c r="AC594" s="44"/>
    </row>
    <row r="595">
      <c r="Y595" s="5"/>
      <c r="Z595" s="5"/>
      <c r="AC595" s="44"/>
    </row>
    <row r="596">
      <c r="Y596" s="5"/>
      <c r="Z596" s="5"/>
      <c r="AC596" s="44"/>
    </row>
    <row r="597">
      <c r="Y597" s="5"/>
      <c r="Z597" s="5"/>
      <c r="AC597" s="44"/>
    </row>
    <row r="598">
      <c r="Y598" s="5"/>
      <c r="Z598" s="5"/>
      <c r="AC598" s="44"/>
    </row>
    <row r="599">
      <c r="Y599" s="5"/>
      <c r="Z599" s="5"/>
      <c r="AC599" s="44"/>
    </row>
    <row r="600">
      <c r="Y600" s="5"/>
      <c r="Z600" s="5"/>
      <c r="AC600" s="44"/>
    </row>
    <row r="601">
      <c r="Y601" s="5"/>
      <c r="Z601" s="5"/>
      <c r="AC601" s="44"/>
    </row>
    <row r="602">
      <c r="Y602" s="5"/>
      <c r="Z602" s="5"/>
      <c r="AC602" s="44"/>
    </row>
    <row r="603">
      <c r="Y603" s="5"/>
      <c r="Z603" s="5"/>
      <c r="AC603" s="44"/>
    </row>
    <row r="604">
      <c r="Y604" s="5"/>
      <c r="Z604" s="5"/>
      <c r="AC604" s="44"/>
    </row>
    <row r="605">
      <c r="Y605" s="5"/>
      <c r="Z605" s="5"/>
      <c r="AC605" s="44"/>
    </row>
    <row r="606">
      <c r="Y606" s="5"/>
      <c r="Z606" s="5"/>
      <c r="AC606" s="44"/>
    </row>
    <row r="607">
      <c r="Y607" s="5"/>
      <c r="Z607" s="5"/>
      <c r="AC607" s="44"/>
    </row>
    <row r="608">
      <c r="Y608" s="5"/>
      <c r="Z608" s="5"/>
      <c r="AC608" s="44"/>
    </row>
    <row r="609">
      <c r="Y609" s="5"/>
      <c r="Z609" s="5"/>
      <c r="AC609" s="44"/>
    </row>
    <row r="610">
      <c r="Y610" s="5"/>
      <c r="Z610" s="5"/>
      <c r="AC610" s="44"/>
    </row>
    <row r="611">
      <c r="Y611" s="5"/>
      <c r="Z611" s="5"/>
      <c r="AC611" s="44"/>
    </row>
    <row r="612">
      <c r="Y612" s="5"/>
      <c r="Z612" s="5"/>
      <c r="AC612" s="44"/>
    </row>
    <row r="613">
      <c r="Y613" s="5"/>
      <c r="Z613" s="5"/>
      <c r="AC613" s="44"/>
    </row>
    <row r="614">
      <c r="Y614" s="5"/>
      <c r="Z614" s="5"/>
      <c r="AC614" s="44"/>
    </row>
    <row r="615">
      <c r="Y615" s="5"/>
      <c r="Z615" s="5"/>
      <c r="AC615" s="44"/>
    </row>
    <row r="616">
      <c r="Y616" s="5"/>
      <c r="Z616" s="5"/>
      <c r="AC616" s="44"/>
    </row>
    <row r="617">
      <c r="Y617" s="5"/>
      <c r="Z617" s="5"/>
      <c r="AC617" s="44"/>
    </row>
    <row r="618">
      <c r="Y618" s="5"/>
      <c r="Z618" s="5"/>
      <c r="AC618" s="44"/>
    </row>
    <row r="619">
      <c r="Y619" s="5"/>
      <c r="Z619" s="5"/>
      <c r="AC619" s="44"/>
    </row>
    <row r="620">
      <c r="Y620" s="5"/>
      <c r="Z620" s="5"/>
      <c r="AC620" s="44"/>
    </row>
    <row r="621">
      <c r="Y621" s="5"/>
      <c r="Z621" s="5"/>
      <c r="AC621" s="44"/>
    </row>
    <row r="622">
      <c r="Y622" s="5"/>
      <c r="Z622" s="5"/>
      <c r="AC622" s="44"/>
    </row>
    <row r="623">
      <c r="Y623" s="5"/>
      <c r="Z623" s="5"/>
      <c r="AC623" s="44"/>
    </row>
    <row r="624">
      <c r="Y624" s="5"/>
      <c r="Z624" s="5"/>
      <c r="AC624" s="44"/>
    </row>
    <row r="625">
      <c r="Y625" s="5"/>
      <c r="Z625" s="5"/>
      <c r="AC625" s="44"/>
    </row>
    <row r="626">
      <c r="Y626" s="5"/>
      <c r="Z626" s="5"/>
      <c r="AC626" s="44"/>
    </row>
    <row r="627">
      <c r="Y627" s="5"/>
      <c r="Z627" s="5"/>
      <c r="AC627" s="44"/>
    </row>
    <row r="628">
      <c r="Y628" s="5"/>
      <c r="Z628" s="5"/>
      <c r="AC628" s="44"/>
    </row>
    <row r="629">
      <c r="Y629" s="5"/>
      <c r="Z629" s="5"/>
      <c r="AC629" s="44"/>
    </row>
    <row r="630">
      <c r="Y630" s="5"/>
      <c r="Z630" s="5"/>
      <c r="AC630" s="44"/>
    </row>
    <row r="631">
      <c r="Y631" s="5"/>
      <c r="Z631" s="5"/>
      <c r="AC631" s="44"/>
    </row>
    <row r="632">
      <c r="Y632" s="5"/>
      <c r="Z632" s="5"/>
      <c r="AC632" s="44"/>
    </row>
    <row r="633">
      <c r="Y633" s="5"/>
      <c r="Z633" s="5"/>
      <c r="AC633" s="44"/>
    </row>
    <row r="634">
      <c r="Y634" s="5"/>
      <c r="Z634" s="5"/>
      <c r="AC634" s="44"/>
    </row>
    <row r="635">
      <c r="Y635" s="5"/>
      <c r="Z635" s="5"/>
      <c r="AC635" s="44"/>
    </row>
    <row r="636">
      <c r="Y636" s="5"/>
      <c r="Z636" s="5"/>
      <c r="AC636" s="44"/>
    </row>
    <row r="637">
      <c r="Y637" s="5"/>
      <c r="Z637" s="5"/>
      <c r="AC637" s="44"/>
    </row>
    <row r="638">
      <c r="Y638" s="5"/>
      <c r="Z638" s="5"/>
      <c r="AC638" s="44"/>
    </row>
    <row r="639">
      <c r="Y639" s="5"/>
      <c r="Z639" s="5"/>
      <c r="AC639" s="44"/>
    </row>
    <row r="640">
      <c r="Y640" s="5"/>
      <c r="Z640" s="5"/>
      <c r="AC640" s="44"/>
    </row>
    <row r="641">
      <c r="Y641" s="5"/>
      <c r="Z641" s="5"/>
      <c r="AC641" s="44"/>
    </row>
    <row r="642">
      <c r="Y642" s="5"/>
      <c r="Z642" s="5"/>
      <c r="AC642" s="44"/>
    </row>
    <row r="643">
      <c r="Y643" s="5"/>
      <c r="Z643" s="5"/>
      <c r="AC643" s="44"/>
    </row>
    <row r="644">
      <c r="Y644" s="5"/>
      <c r="Z644" s="5"/>
      <c r="AC644" s="44"/>
    </row>
    <row r="645">
      <c r="Y645" s="5"/>
      <c r="Z645" s="5"/>
      <c r="AC645" s="44"/>
    </row>
    <row r="646">
      <c r="Y646" s="5"/>
      <c r="Z646" s="5"/>
      <c r="AC646" s="44"/>
    </row>
    <row r="647">
      <c r="Y647" s="5"/>
      <c r="Z647" s="5"/>
      <c r="AC647" s="44"/>
    </row>
    <row r="648">
      <c r="Y648" s="5"/>
      <c r="Z648" s="5"/>
      <c r="AC648" s="44"/>
    </row>
    <row r="649">
      <c r="Y649" s="5"/>
      <c r="Z649" s="5"/>
      <c r="AC649" s="44"/>
    </row>
    <row r="650">
      <c r="Y650" s="5"/>
      <c r="Z650" s="5"/>
      <c r="AC650" s="44"/>
    </row>
    <row r="651">
      <c r="Y651" s="5"/>
      <c r="Z651" s="5"/>
      <c r="AC651" s="44"/>
    </row>
    <row r="652">
      <c r="Y652" s="5"/>
      <c r="Z652" s="5"/>
      <c r="AC652" s="44"/>
    </row>
    <row r="653">
      <c r="Y653" s="5"/>
      <c r="Z653" s="5"/>
      <c r="AC653" s="44"/>
    </row>
    <row r="654">
      <c r="Y654" s="5"/>
      <c r="Z654" s="5"/>
      <c r="AC654" s="44"/>
    </row>
    <row r="655">
      <c r="Y655" s="5"/>
      <c r="Z655" s="5"/>
      <c r="AC655" s="44"/>
    </row>
    <row r="656">
      <c r="Y656" s="5"/>
      <c r="Z656" s="5"/>
      <c r="AC656" s="44"/>
    </row>
    <row r="657">
      <c r="Y657" s="5"/>
      <c r="Z657" s="5"/>
      <c r="AC657" s="44"/>
    </row>
    <row r="658">
      <c r="Y658" s="5"/>
      <c r="Z658" s="5"/>
      <c r="AC658" s="44"/>
    </row>
    <row r="659">
      <c r="Y659" s="5"/>
      <c r="Z659" s="5"/>
      <c r="AC659" s="44"/>
    </row>
    <row r="660">
      <c r="Y660" s="5"/>
      <c r="Z660" s="5"/>
      <c r="AC660" s="44"/>
    </row>
    <row r="661">
      <c r="Y661" s="5"/>
      <c r="Z661" s="5"/>
      <c r="AC661" s="44"/>
    </row>
    <row r="662">
      <c r="Y662" s="5"/>
      <c r="Z662" s="5"/>
      <c r="AC662" s="44"/>
    </row>
    <row r="663">
      <c r="Y663" s="5"/>
      <c r="Z663" s="5"/>
      <c r="AC663" s="44"/>
    </row>
    <row r="664">
      <c r="Y664" s="5"/>
      <c r="Z664" s="5"/>
      <c r="AC664" s="44"/>
    </row>
    <row r="665">
      <c r="Y665" s="5"/>
      <c r="Z665" s="5"/>
      <c r="AC665" s="44"/>
    </row>
    <row r="666">
      <c r="Y666" s="5"/>
      <c r="Z666" s="5"/>
      <c r="AC666" s="44"/>
    </row>
    <row r="667">
      <c r="Y667" s="5"/>
      <c r="Z667" s="5"/>
      <c r="AC667" s="44"/>
    </row>
    <row r="668">
      <c r="Y668" s="5"/>
      <c r="Z668" s="5"/>
      <c r="AC668" s="44"/>
    </row>
    <row r="669">
      <c r="Y669" s="5"/>
      <c r="Z669" s="5"/>
      <c r="AC669" s="44"/>
    </row>
    <row r="670">
      <c r="Y670" s="5"/>
      <c r="Z670" s="5"/>
      <c r="AC670" s="44"/>
    </row>
    <row r="671">
      <c r="Y671" s="5"/>
      <c r="Z671" s="5"/>
      <c r="AC671" s="44"/>
    </row>
    <row r="672">
      <c r="Y672" s="5"/>
      <c r="Z672" s="5"/>
      <c r="AC672" s="44"/>
    </row>
    <row r="673">
      <c r="Y673" s="5"/>
      <c r="Z673" s="5"/>
      <c r="AC673" s="44"/>
    </row>
    <row r="674">
      <c r="Y674" s="5"/>
      <c r="Z674" s="5"/>
      <c r="AC674" s="44"/>
    </row>
    <row r="675">
      <c r="Y675" s="5"/>
      <c r="Z675" s="5"/>
      <c r="AC675" s="44"/>
    </row>
    <row r="676">
      <c r="Y676" s="5"/>
      <c r="Z676" s="5"/>
      <c r="AC676" s="44"/>
    </row>
    <row r="677">
      <c r="Y677" s="5"/>
      <c r="Z677" s="5"/>
      <c r="AC677" s="44"/>
    </row>
    <row r="678">
      <c r="Y678" s="5"/>
      <c r="Z678" s="5"/>
      <c r="AC678" s="44"/>
    </row>
    <row r="679">
      <c r="Y679" s="5"/>
      <c r="Z679" s="5"/>
      <c r="AC679" s="44"/>
    </row>
    <row r="680">
      <c r="Y680" s="5"/>
      <c r="Z680" s="5"/>
      <c r="AC680" s="44"/>
    </row>
    <row r="681">
      <c r="Y681" s="5"/>
      <c r="Z681" s="5"/>
      <c r="AC681" s="44"/>
    </row>
    <row r="682">
      <c r="Y682" s="5"/>
      <c r="Z682" s="5"/>
      <c r="AC682" s="44"/>
    </row>
    <row r="683">
      <c r="Y683" s="5"/>
      <c r="Z683" s="5"/>
      <c r="AC683" s="44"/>
    </row>
    <row r="684">
      <c r="Y684" s="5"/>
      <c r="Z684" s="5"/>
      <c r="AC684" s="44"/>
    </row>
    <row r="685">
      <c r="Y685" s="5"/>
      <c r="Z685" s="5"/>
      <c r="AC685" s="44"/>
    </row>
    <row r="686">
      <c r="Y686" s="5"/>
      <c r="Z686" s="5"/>
      <c r="AC686" s="44"/>
    </row>
    <row r="687">
      <c r="Y687" s="5"/>
      <c r="Z687" s="5"/>
      <c r="AC687" s="44"/>
    </row>
    <row r="688">
      <c r="Y688" s="5"/>
      <c r="Z688" s="5"/>
      <c r="AC688" s="44"/>
    </row>
    <row r="689">
      <c r="Y689" s="5"/>
      <c r="Z689" s="5"/>
      <c r="AC689" s="44"/>
    </row>
    <row r="690">
      <c r="Y690" s="5"/>
      <c r="Z690" s="5"/>
      <c r="AC690" s="44"/>
    </row>
    <row r="691">
      <c r="Y691" s="5"/>
      <c r="Z691" s="5"/>
      <c r="AC691" s="44"/>
    </row>
    <row r="692">
      <c r="Y692" s="5"/>
      <c r="Z692" s="5"/>
      <c r="AC692" s="44"/>
    </row>
    <row r="693">
      <c r="Y693" s="5"/>
      <c r="Z693" s="5"/>
      <c r="AC693" s="44"/>
    </row>
    <row r="694">
      <c r="Y694" s="5"/>
      <c r="Z694" s="5"/>
      <c r="AC694" s="44"/>
    </row>
    <row r="695">
      <c r="Y695" s="5"/>
      <c r="Z695" s="5"/>
      <c r="AC695" s="44"/>
    </row>
    <row r="696">
      <c r="Y696" s="5"/>
      <c r="Z696" s="5"/>
      <c r="AC696" s="44"/>
    </row>
    <row r="697">
      <c r="Y697" s="5"/>
      <c r="Z697" s="5"/>
      <c r="AC697" s="44"/>
    </row>
    <row r="698">
      <c r="Y698" s="5"/>
      <c r="Z698" s="5"/>
      <c r="AC698" s="44"/>
    </row>
    <row r="699">
      <c r="Y699" s="5"/>
      <c r="Z699" s="5"/>
      <c r="AC699" s="44"/>
    </row>
    <row r="700">
      <c r="Y700" s="5"/>
      <c r="Z700" s="5"/>
      <c r="AC700" s="44"/>
    </row>
    <row r="701">
      <c r="Y701" s="5"/>
      <c r="Z701" s="5"/>
      <c r="AC701" s="44"/>
    </row>
    <row r="702">
      <c r="Y702" s="5"/>
      <c r="Z702" s="5"/>
      <c r="AC702" s="44"/>
    </row>
    <row r="703">
      <c r="Y703" s="5"/>
      <c r="Z703" s="5"/>
      <c r="AC703" s="44"/>
    </row>
    <row r="704">
      <c r="Y704" s="5"/>
      <c r="Z704" s="5"/>
      <c r="AC704" s="44"/>
    </row>
    <row r="705">
      <c r="Y705" s="5"/>
      <c r="Z705" s="5"/>
      <c r="AC705" s="44"/>
    </row>
    <row r="706">
      <c r="Y706" s="5"/>
      <c r="Z706" s="5"/>
      <c r="AC706" s="44"/>
    </row>
    <row r="707">
      <c r="Y707" s="5"/>
      <c r="Z707" s="5"/>
      <c r="AC707" s="44"/>
    </row>
    <row r="708">
      <c r="Y708" s="5"/>
      <c r="Z708" s="5"/>
      <c r="AC708" s="44"/>
    </row>
    <row r="709">
      <c r="Y709" s="5"/>
      <c r="Z709" s="5"/>
      <c r="AC709" s="44"/>
    </row>
    <row r="710">
      <c r="Y710" s="5"/>
      <c r="Z710" s="5"/>
      <c r="AC710" s="44"/>
    </row>
    <row r="711">
      <c r="Y711" s="5"/>
      <c r="Z711" s="5"/>
      <c r="AC711" s="44"/>
    </row>
    <row r="712">
      <c r="Y712" s="5"/>
      <c r="Z712" s="5"/>
      <c r="AC712" s="44"/>
    </row>
    <row r="713">
      <c r="Y713" s="5"/>
      <c r="Z713" s="5"/>
      <c r="AC713" s="44"/>
    </row>
    <row r="714">
      <c r="Y714" s="5"/>
      <c r="Z714" s="5"/>
      <c r="AC714" s="44"/>
    </row>
    <row r="715">
      <c r="Y715" s="5"/>
      <c r="Z715" s="5"/>
      <c r="AC715" s="44"/>
    </row>
    <row r="716">
      <c r="Y716" s="5"/>
      <c r="Z716" s="5"/>
      <c r="AC716" s="44"/>
    </row>
    <row r="717">
      <c r="Y717" s="5"/>
      <c r="Z717" s="5"/>
      <c r="AC717" s="44"/>
    </row>
    <row r="718">
      <c r="Y718" s="5"/>
      <c r="Z718" s="5"/>
      <c r="AC718" s="44"/>
    </row>
    <row r="719">
      <c r="Y719" s="5"/>
      <c r="Z719" s="5"/>
      <c r="AC719" s="44"/>
    </row>
    <row r="720">
      <c r="Y720" s="5"/>
      <c r="Z720" s="5"/>
      <c r="AC720" s="44"/>
    </row>
    <row r="721">
      <c r="Y721" s="5"/>
      <c r="Z721" s="5"/>
      <c r="AC721" s="44"/>
    </row>
    <row r="722">
      <c r="Y722" s="5"/>
      <c r="Z722" s="5"/>
      <c r="AC722" s="44"/>
    </row>
    <row r="723">
      <c r="Y723" s="5"/>
      <c r="Z723" s="5"/>
      <c r="AC723" s="44"/>
    </row>
    <row r="724">
      <c r="Y724" s="5"/>
      <c r="Z724" s="5"/>
      <c r="AC724" s="44"/>
    </row>
    <row r="725">
      <c r="Y725" s="5"/>
      <c r="Z725" s="5"/>
      <c r="AC725" s="44"/>
    </row>
    <row r="726">
      <c r="Y726" s="5"/>
      <c r="Z726" s="5"/>
      <c r="AC726" s="44"/>
    </row>
    <row r="727">
      <c r="Y727" s="5"/>
      <c r="Z727" s="5"/>
      <c r="AC727" s="44"/>
    </row>
    <row r="728">
      <c r="Y728" s="5"/>
      <c r="Z728" s="5"/>
      <c r="AC728" s="44"/>
    </row>
    <row r="729">
      <c r="Y729" s="5"/>
      <c r="Z729" s="5"/>
      <c r="AC729" s="44"/>
    </row>
    <row r="730">
      <c r="Y730" s="5"/>
      <c r="Z730" s="5"/>
      <c r="AC730" s="44"/>
    </row>
    <row r="731">
      <c r="Y731" s="5"/>
      <c r="Z731" s="5"/>
      <c r="AC731" s="44"/>
    </row>
    <row r="732">
      <c r="Y732" s="5"/>
      <c r="Z732" s="5"/>
      <c r="AC732" s="44"/>
    </row>
    <row r="733">
      <c r="Y733" s="5"/>
      <c r="Z733" s="5"/>
      <c r="AC733" s="44"/>
    </row>
    <row r="734">
      <c r="Y734" s="5"/>
      <c r="Z734" s="5"/>
      <c r="AC734" s="44"/>
    </row>
    <row r="735">
      <c r="Y735" s="5"/>
      <c r="Z735" s="5"/>
      <c r="AC735" s="44"/>
    </row>
    <row r="736">
      <c r="Y736" s="5"/>
      <c r="Z736" s="5"/>
      <c r="AC736" s="44"/>
    </row>
    <row r="737">
      <c r="Y737" s="5"/>
      <c r="Z737" s="5"/>
      <c r="AC737" s="44"/>
    </row>
    <row r="738">
      <c r="Y738" s="5"/>
      <c r="Z738" s="5"/>
      <c r="AC738" s="44"/>
    </row>
    <row r="739">
      <c r="Y739" s="5"/>
      <c r="Z739" s="5"/>
      <c r="AC739" s="44"/>
    </row>
    <row r="740">
      <c r="Y740" s="5"/>
      <c r="Z740" s="5"/>
      <c r="AC740" s="44"/>
    </row>
    <row r="741">
      <c r="Y741" s="5"/>
      <c r="Z741" s="5"/>
      <c r="AC741" s="44"/>
    </row>
    <row r="742">
      <c r="Y742" s="5"/>
      <c r="Z742" s="5"/>
      <c r="AC742" s="44"/>
    </row>
    <row r="743">
      <c r="Y743" s="5"/>
      <c r="Z743" s="5"/>
      <c r="AC743" s="44"/>
    </row>
    <row r="744">
      <c r="Y744" s="5"/>
      <c r="Z744" s="5"/>
      <c r="AC744" s="44"/>
    </row>
    <row r="745">
      <c r="Y745" s="5"/>
      <c r="Z745" s="5"/>
      <c r="AC745" s="44"/>
    </row>
    <row r="746">
      <c r="Y746" s="5"/>
      <c r="Z746" s="5"/>
      <c r="AC746" s="44"/>
    </row>
    <row r="747">
      <c r="Y747" s="5"/>
      <c r="Z747" s="5"/>
      <c r="AC747" s="44"/>
    </row>
    <row r="748">
      <c r="Y748" s="5"/>
      <c r="Z748" s="5"/>
      <c r="AC748" s="44"/>
    </row>
    <row r="749">
      <c r="Y749" s="5"/>
      <c r="Z749" s="5"/>
      <c r="AC749" s="44"/>
    </row>
    <row r="750">
      <c r="Y750" s="5"/>
      <c r="Z750" s="5"/>
      <c r="AC750" s="44"/>
    </row>
    <row r="751">
      <c r="Y751" s="5"/>
      <c r="Z751" s="5"/>
      <c r="AC751" s="44"/>
    </row>
    <row r="752">
      <c r="Y752" s="5"/>
      <c r="Z752" s="5"/>
      <c r="AC752" s="44"/>
    </row>
    <row r="753">
      <c r="Y753" s="5"/>
      <c r="Z753" s="5"/>
      <c r="AC753" s="44"/>
    </row>
    <row r="754">
      <c r="Y754" s="5"/>
      <c r="Z754" s="5"/>
      <c r="AC754" s="44"/>
    </row>
    <row r="755">
      <c r="Y755" s="5"/>
      <c r="Z755" s="5"/>
      <c r="AC755" s="44"/>
    </row>
    <row r="756">
      <c r="Y756" s="5"/>
      <c r="Z756" s="5"/>
      <c r="AC756" s="44"/>
    </row>
    <row r="757">
      <c r="Y757" s="5"/>
      <c r="Z757" s="5"/>
      <c r="AC757" s="44"/>
    </row>
    <row r="758">
      <c r="Y758" s="5"/>
      <c r="Z758" s="5"/>
      <c r="AC758" s="44"/>
    </row>
    <row r="759">
      <c r="Y759" s="5"/>
      <c r="Z759" s="5"/>
      <c r="AC759" s="44"/>
    </row>
    <row r="760">
      <c r="Y760" s="5"/>
      <c r="Z760" s="5"/>
      <c r="AC760" s="44"/>
    </row>
    <row r="761">
      <c r="Y761" s="5"/>
      <c r="Z761" s="5"/>
      <c r="AC761" s="44"/>
    </row>
    <row r="762">
      <c r="Y762" s="5"/>
      <c r="Z762" s="5"/>
      <c r="AC762" s="44"/>
    </row>
    <row r="763">
      <c r="Y763" s="5"/>
      <c r="Z763" s="5"/>
      <c r="AC763" s="44"/>
    </row>
    <row r="764">
      <c r="Y764" s="5"/>
      <c r="Z764" s="5"/>
      <c r="AC764" s="44"/>
    </row>
    <row r="765">
      <c r="Y765" s="5"/>
      <c r="Z765" s="5"/>
      <c r="AC765" s="44"/>
    </row>
    <row r="766">
      <c r="Y766" s="5"/>
      <c r="Z766" s="5"/>
      <c r="AC766" s="44"/>
    </row>
    <row r="767">
      <c r="Y767" s="5"/>
      <c r="Z767" s="5"/>
      <c r="AC767" s="44"/>
    </row>
    <row r="768">
      <c r="Y768" s="5"/>
      <c r="Z768" s="5"/>
      <c r="AC768" s="44"/>
    </row>
    <row r="769">
      <c r="Y769" s="5"/>
      <c r="Z769" s="5"/>
      <c r="AC769" s="44"/>
    </row>
    <row r="770">
      <c r="Y770" s="5"/>
      <c r="Z770" s="5"/>
      <c r="AC770" s="44"/>
    </row>
    <row r="771">
      <c r="Y771" s="5"/>
      <c r="Z771" s="5"/>
      <c r="AC771" s="44"/>
    </row>
    <row r="772">
      <c r="Y772" s="5"/>
      <c r="Z772" s="5"/>
      <c r="AC772" s="44"/>
    </row>
    <row r="773">
      <c r="Y773" s="5"/>
      <c r="Z773" s="5"/>
      <c r="AC773" s="44"/>
    </row>
    <row r="774">
      <c r="Y774" s="5"/>
      <c r="Z774" s="5"/>
      <c r="AC774" s="44"/>
    </row>
    <row r="775">
      <c r="Y775" s="5"/>
      <c r="Z775" s="5"/>
      <c r="AC775" s="44"/>
    </row>
    <row r="776">
      <c r="Y776" s="5"/>
      <c r="Z776" s="5"/>
      <c r="AC776" s="44"/>
    </row>
    <row r="777">
      <c r="Y777" s="5"/>
      <c r="Z777" s="5"/>
      <c r="AC777" s="44"/>
    </row>
    <row r="778">
      <c r="Y778" s="5"/>
      <c r="Z778" s="5"/>
      <c r="AC778" s="44"/>
    </row>
    <row r="779">
      <c r="Y779" s="5"/>
      <c r="Z779" s="5"/>
      <c r="AC779" s="44"/>
    </row>
    <row r="780">
      <c r="Y780" s="5"/>
      <c r="Z780" s="5"/>
      <c r="AC780" s="44"/>
    </row>
    <row r="781">
      <c r="Y781" s="5"/>
      <c r="Z781" s="5"/>
      <c r="AC781" s="44"/>
    </row>
    <row r="782">
      <c r="Y782" s="5"/>
      <c r="Z782" s="5"/>
      <c r="AC782" s="44"/>
    </row>
    <row r="783">
      <c r="Y783" s="5"/>
      <c r="Z783" s="5"/>
      <c r="AC783" s="44"/>
    </row>
    <row r="784">
      <c r="Y784" s="5"/>
      <c r="Z784" s="5"/>
      <c r="AC784" s="44"/>
    </row>
    <row r="785">
      <c r="Y785" s="5"/>
      <c r="Z785" s="5"/>
      <c r="AC785" s="44"/>
    </row>
    <row r="786">
      <c r="Y786" s="5"/>
      <c r="Z786" s="5"/>
      <c r="AC786" s="44"/>
    </row>
    <row r="787">
      <c r="Y787" s="5"/>
      <c r="Z787" s="5"/>
      <c r="AC787" s="44"/>
    </row>
    <row r="788">
      <c r="Y788" s="5"/>
      <c r="Z788" s="5"/>
      <c r="AC788" s="44"/>
    </row>
    <row r="789">
      <c r="Y789" s="5"/>
      <c r="Z789" s="5"/>
      <c r="AC789" s="44"/>
    </row>
    <row r="790">
      <c r="Y790" s="5"/>
      <c r="Z790" s="5"/>
      <c r="AC790" s="44"/>
    </row>
    <row r="791">
      <c r="Y791" s="5"/>
      <c r="Z791" s="5"/>
      <c r="AC791" s="44"/>
    </row>
    <row r="792">
      <c r="Y792" s="5"/>
      <c r="Z792" s="5"/>
      <c r="AC792" s="44"/>
    </row>
    <row r="793">
      <c r="Y793" s="5"/>
      <c r="Z793" s="5"/>
      <c r="AC793" s="44"/>
    </row>
    <row r="794">
      <c r="Y794" s="5"/>
      <c r="Z794" s="5"/>
      <c r="AC794" s="44"/>
    </row>
    <row r="795">
      <c r="Y795" s="5"/>
      <c r="Z795" s="5"/>
      <c r="AC795" s="44"/>
    </row>
    <row r="796">
      <c r="Y796" s="5"/>
      <c r="Z796" s="5"/>
      <c r="AC796" s="44"/>
    </row>
    <row r="797">
      <c r="Y797" s="5"/>
      <c r="Z797" s="5"/>
      <c r="AC797" s="44"/>
    </row>
    <row r="798">
      <c r="Y798" s="5"/>
      <c r="Z798" s="5"/>
      <c r="AC798" s="44"/>
    </row>
    <row r="799">
      <c r="Y799" s="5"/>
      <c r="Z799" s="5"/>
      <c r="AC799" s="44"/>
    </row>
    <row r="800">
      <c r="Y800" s="5"/>
      <c r="Z800" s="5"/>
      <c r="AC800" s="44"/>
    </row>
    <row r="801">
      <c r="Y801" s="5"/>
      <c r="Z801" s="5"/>
      <c r="AC801" s="44"/>
    </row>
    <row r="802">
      <c r="Y802" s="5"/>
      <c r="Z802" s="5"/>
      <c r="AC802" s="44"/>
    </row>
    <row r="803">
      <c r="Y803" s="5"/>
      <c r="Z803" s="5"/>
      <c r="AC803" s="44"/>
    </row>
    <row r="804">
      <c r="Y804" s="5"/>
      <c r="Z804" s="5"/>
      <c r="AC804" s="44"/>
    </row>
    <row r="805">
      <c r="Y805" s="5"/>
      <c r="Z805" s="5"/>
      <c r="AC805" s="44"/>
    </row>
    <row r="806">
      <c r="Y806" s="5"/>
      <c r="Z806" s="5"/>
      <c r="AC806" s="44"/>
    </row>
    <row r="807">
      <c r="Y807" s="5"/>
      <c r="Z807" s="5"/>
      <c r="AC807" s="44"/>
    </row>
    <row r="808">
      <c r="Y808" s="5"/>
      <c r="Z808" s="5"/>
      <c r="AC808" s="44"/>
    </row>
    <row r="809">
      <c r="Y809" s="5"/>
      <c r="Z809" s="5"/>
      <c r="AC809" s="44"/>
    </row>
    <row r="810">
      <c r="Y810" s="5"/>
      <c r="Z810" s="5"/>
      <c r="AC810" s="44"/>
    </row>
    <row r="811">
      <c r="Y811" s="5"/>
      <c r="Z811" s="5"/>
      <c r="AC811" s="44"/>
    </row>
    <row r="812">
      <c r="Y812" s="5"/>
      <c r="Z812" s="5"/>
      <c r="AC812" s="44"/>
    </row>
    <row r="813">
      <c r="Y813" s="5"/>
      <c r="Z813" s="5"/>
      <c r="AC813" s="44"/>
    </row>
    <row r="814">
      <c r="Y814" s="5"/>
      <c r="Z814" s="5"/>
      <c r="AC814" s="44"/>
    </row>
    <row r="815">
      <c r="Y815" s="5"/>
      <c r="Z815" s="5"/>
      <c r="AC815" s="44"/>
    </row>
    <row r="816">
      <c r="Y816" s="5"/>
      <c r="Z816" s="5"/>
      <c r="AC816" s="44"/>
    </row>
    <row r="817">
      <c r="Y817" s="5"/>
      <c r="Z817" s="5"/>
      <c r="AC817" s="44"/>
    </row>
    <row r="818">
      <c r="Y818" s="5"/>
      <c r="Z818" s="5"/>
      <c r="AC818" s="44"/>
    </row>
    <row r="819">
      <c r="Y819" s="5"/>
      <c r="Z819" s="5"/>
      <c r="AC819" s="44"/>
    </row>
    <row r="820">
      <c r="Y820" s="5"/>
      <c r="Z820" s="5"/>
      <c r="AC820" s="44"/>
    </row>
    <row r="821">
      <c r="Y821" s="5"/>
      <c r="Z821" s="5"/>
      <c r="AC821" s="44"/>
    </row>
    <row r="822">
      <c r="Y822" s="5"/>
      <c r="Z822" s="5"/>
      <c r="AC822" s="44"/>
    </row>
    <row r="823">
      <c r="Y823" s="5"/>
      <c r="Z823" s="5"/>
      <c r="AC823" s="44"/>
    </row>
    <row r="824">
      <c r="Y824" s="5"/>
      <c r="Z824" s="5"/>
      <c r="AC824" s="44"/>
    </row>
    <row r="825">
      <c r="Y825" s="5"/>
      <c r="Z825" s="5"/>
      <c r="AC825" s="44"/>
    </row>
    <row r="826">
      <c r="Y826" s="5"/>
      <c r="Z826" s="5"/>
      <c r="AC826" s="44"/>
    </row>
    <row r="827">
      <c r="Y827" s="5"/>
      <c r="Z827" s="5"/>
      <c r="AC827" s="44"/>
    </row>
    <row r="828">
      <c r="Y828" s="5"/>
      <c r="Z828" s="5"/>
      <c r="AC828" s="44"/>
    </row>
    <row r="829">
      <c r="Y829" s="5"/>
      <c r="Z829" s="5"/>
      <c r="AC829" s="44"/>
    </row>
    <row r="830">
      <c r="Y830" s="5"/>
      <c r="Z830" s="5"/>
      <c r="AC830" s="44"/>
    </row>
    <row r="831">
      <c r="Y831" s="5"/>
      <c r="Z831" s="5"/>
      <c r="AC831" s="44"/>
    </row>
    <row r="832">
      <c r="Y832" s="5"/>
      <c r="Z832" s="5"/>
      <c r="AC832" s="44"/>
    </row>
    <row r="833">
      <c r="Y833" s="5"/>
      <c r="Z833" s="5"/>
      <c r="AC833" s="44"/>
    </row>
    <row r="834">
      <c r="Y834" s="5"/>
      <c r="Z834" s="5"/>
      <c r="AC834" s="44"/>
    </row>
    <row r="835">
      <c r="Y835" s="5"/>
      <c r="Z835" s="5"/>
      <c r="AC835" s="44"/>
    </row>
    <row r="836">
      <c r="Y836" s="5"/>
      <c r="Z836" s="5"/>
      <c r="AC836" s="44"/>
    </row>
    <row r="837">
      <c r="Y837" s="5"/>
      <c r="Z837" s="5"/>
      <c r="AC837" s="44"/>
    </row>
    <row r="838">
      <c r="Y838" s="5"/>
      <c r="Z838" s="5"/>
      <c r="AC838" s="44"/>
    </row>
    <row r="839">
      <c r="Y839" s="5"/>
      <c r="Z839" s="5"/>
      <c r="AC839" s="44"/>
    </row>
    <row r="840">
      <c r="Y840" s="5"/>
      <c r="Z840" s="5"/>
      <c r="AC840" s="44"/>
    </row>
    <row r="841">
      <c r="Y841" s="5"/>
      <c r="Z841" s="5"/>
      <c r="AC841" s="44"/>
    </row>
    <row r="842">
      <c r="Y842" s="5"/>
      <c r="Z842" s="5"/>
      <c r="AC842" s="44"/>
    </row>
    <row r="843">
      <c r="Y843" s="5"/>
      <c r="Z843" s="5"/>
      <c r="AC843" s="44"/>
    </row>
    <row r="844">
      <c r="Y844" s="5"/>
      <c r="Z844" s="5"/>
      <c r="AC844" s="44"/>
    </row>
    <row r="845">
      <c r="Y845" s="5"/>
      <c r="Z845" s="5"/>
      <c r="AC845" s="44"/>
    </row>
    <row r="846">
      <c r="Y846" s="5"/>
      <c r="Z846" s="5"/>
      <c r="AC846" s="44"/>
    </row>
    <row r="847">
      <c r="Y847" s="5"/>
      <c r="Z847" s="5"/>
      <c r="AC847" s="44"/>
    </row>
    <row r="848">
      <c r="Y848" s="5"/>
      <c r="Z848" s="5"/>
      <c r="AC848" s="44"/>
    </row>
    <row r="849">
      <c r="Y849" s="5"/>
      <c r="Z849" s="5"/>
      <c r="AC849" s="44"/>
    </row>
    <row r="850">
      <c r="Y850" s="5"/>
      <c r="Z850" s="5"/>
      <c r="AC850" s="44"/>
    </row>
    <row r="851">
      <c r="Y851" s="5"/>
      <c r="Z851" s="5"/>
      <c r="AC851" s="44"/>
    </row>
    <row r="852">
      <c r="Y852" s="5"/>
      <c r="Z852" s="5"/>
      <c r="AC852" s="44"/>
    </row>
    <row r="853">
      <c r="Y853" s="5"/>
      <c r="Z853" s="5"/>
      <c r="AC853" s="44"/>
    </row>
    <row r="854">
      <c r="Y854" s="5"/>
      <c r="Z854" s="5"/>
      <c r="AC854" s="44"/>
    </row>
    <row r="855">
      <c r="Y855" s="5"/>
      <c r="Z855" s="5"/>
      <c r="AC855" s="44"/>
    </row>
    <row r="856">
      <c r="Y856" s="5"/>
      <c r="Z856" s="5"/>
      <c r="AC856" s="44"/>
    </row>
    <row r="857">
      <c r="Y857" s="5"/>
      <c r="Z857" s="5"/>
      <c r="AC857" s="44"/>
    </row>
    <row r="858">
      <c r="Y858" s="5"/>
      <c r="Z858" s="5"/>
      <c r="AC858" s="44"/>
    </row>
    <row r="859">
      <c r="Y859" s="5"/>
      <c r="Z859" s="5"/>
      <c r="AC859" s="44"/>
    </row>
    <row r="860">
      <c r="Y860" s="5"/>
      <c r="Z860" s="5"/>
      <c r="AC860" s="44"/>
    </row>
    <row r="861">
      <c r="Y861" s="5"/>
      <c r="Z861" s="5"/>
      <c r="AC861" s="44"/>
    </row>
    <row r="862">
      <c r="Y862" s="5"/>
      <c r="Z862" s="5"/>
      <c r="AC862" s="44"/>
    </row>
    <row r="863">
      <c r="Y863" s="5"/>
      <c r="Z863" s="5"/>
      <c r="AC863" s="44"/>
    </row>
    <row r="864">
      <c r="Y864" s="5"/>
      <c r="Z864" s="5"/>
      <c r="AC864" s="44"/>
    </row>
    <row r="865">
      <c r="Y865" s="5"/>
      <c r="Z865" s="5"/>
      <c r="AC865" s="44"/>
    </row>
    <row r="866">
      <c r="Y866" s="5"/>
      <c r="Z866" s="5"/>
      <c r="AC866" s="44"/>
    </row>
    <row r="867">
      <c r="Y867" s="5"/>
      <c r="Z867" s="5"/>
      <c r="AC867" s="44"/>
    </row>
    <row r="868">
      <c r="Y868" s="5"/>
      <c r="Z868" s="5"/>
      <c r="AC868" s="44"/>
    </row>
    <row r="869">
      <c r="Y869" s="5"/>
      <c r="Z869" s="5"/>
      <c r="AC869" s="44"/>
    </row>
    <row r="870">
      <c r="Y870" s="5"/>
      <c r="Z870" s="5"/>
      <c r="AC870" s="44"/>
    </row>
    <row r="871">
      <c r="Y871" s="5"/>
      <c r="Z871" s="5"/>
      <c r="AC871" s="44"/>
    </row>
    <row r="872">
      <c r="Y872" s="5"/>
      <c r="Z872" s="5"/>
      <c r="AC872" s="44"/>
    </row>
    <row r="873">
      <c r="Y873" s="5"/>
      <c r="Z873" s="5"/>
      <c r="AC873" s="44"/>
    </row>
    <row r="874">
      <c r="Y874" s="5"/>
      <c r="Z874" s="5"/>
      <c r="AC874" s="44"/>
    </row>
    <row r="875">
      <c r="Y875" s="5"/>
      <c r="Z875" s="5"/>
      <c r="AC875" s="44"/>
    </row>
    <row r="876">
      <c r="Y876" s="5"/>
      <c r="Z876" s="5"/>
      <c r="AC876" s="44"/>
    </row>
    <row r="877">
      <c r="Y877" s="5"/>
      <c r="Z877" s="5"/>
      <c r="AC877" s="44"/>
    </row>
    <row r="878">
      <c r="Y878" s="5"/>
      <c r="Z878" s="5"/>
      <c r="AC878" s="44"/>
    </row>
    <row r="879">
      <c r="Y879" s="5"/>
      <c r="Z879" s="5"/>
      <c r="AC879" s="44"/>
    </row>
    <row r="880">
      <c r="Y880" s="5"/>
      <c r="Z880" s="5"/>
      <c r="AC880" s="44"/>
    </row>
    <row r="881">
      <c r="Y881" s="5"/>
      <c r="Z881" s="5"/>
      <c r="AC881" s="44"/>
    </row>
    <row r="882">
      <c r="Y882" s="5"/>
      <c r="Z882" s="5"/>
      <c r="AC882" s="44"/>
    </row>
    <row r="883">
      <c r="Y883" s="5"/>
      <c r="Z883" s="5"/>
      <c r="AC883" s="44"/>
    </row>
    <row r="884">
      <c r="Y884" s="5"/>
      <c r="Z884" s="5"/>
      <c r="AC884" s="44"/>
    </row>
    <row r="885">
      <c r="Y885" s="5"/>
      <c r="Z885" s="5"/>
      <c r="AC885" s="44"/>
    </row>
    <row r="886">
      <c r="Y886" s="5"/>
      <c r="Z886" s="5"/>
      <c r="AC886" s="44"/>
    </row>
    <row r="887">
      <c r="Y887" s="5"/>
      <c r="Z887" s="5"/>
      <c r="AC887" s="44"/>
    </row>
    <row r="888">
      <c r="Y888" s="5"/>
      <c r="Z888" s="5"/>
      <c r="AC888" s="44"/>
    </row>
    <row r="889">
      <c r="Y889" s="5"/>
      <c r="Z889" s="5"/>
      <c r="AC889" s="44"/>
    </row>
    <row r="890">
      <c r="Y890" s="5"/>
      <c r="Z890" s="5"/>
      <c r="AC890" s="44"/>
    </row>
    <row r="891">
      <c r="Y891" s="5"/>
      <c r="Z891" s="5"/>
      <c r="AC891" s="44"/>
    </row>
    <row r="892">
      <c r="Y892" s="5"/>
      <c r="Z892" s="5"/>
      <c r="AC892" s="44"/>
    </row>
    <row r="893">
      <c r="Y893" s="5"/>
      <c r="Z893" s="5"/>
      <c r="AC893" s="44"/>
    </row>
    <row r="894">
      <c r="Y894" s="5"/>
      <c r="Z894" s="5"/>
      <c r="AC894" s="44"/>
    </row>
    <row r="895">
      <c r="Y895" s="5"/>
      <c r="Z895" s="5"/>
      <c r="AC895" s="44"/>
    </row>
    <row r="896">
      <c r="Y896" s="5"/>
      <c r="Z896" s="5"/>
      <c r="AC896" s="44"/>
    </row>
    <row r="897">
      <c r="Y897" s="5"/>
      <c r="Z897" s="5"/>
      <c r="AC897" s="44"/>
    </row>
    <row r="898">
      <c r="Y898" s="5"/>
      <c r="Z898" s="5"/>
      <c r="AC898" s="44"/>
    </row>
    <row r="899">
      <c r="Y899" s="5"/>
      <c r="Z899" s="5"/>
      <c r="AC899" s="44"/>
    </row>
    <row r="900">
      <c r="Y900" s="5"/>
      <c r="Z900" s="5"/>
      <c r="AC900" s="44"/>
    </row>
    <row r="901">
      <c r="Y901" s="5"/>
      <c r="Z901" s="5"/>
      <c r="AC901" s="44"/>
    </row>
    <row r="902">
      <c r="Y902" s="5"/>
      <c r="Z902" s="5"/>
      <c r="AC902" s="44"/>
    </row>
    <row r="903">
      <c r="Y903" s="5"/>
      <c r="Z903" s="5"/>
      <c r="AC903" s="44"/>
    </row>
    <row r="904">
      <c r="Y904" s="5"/>
      <c r="Z904" s="5"/>
      <c r="AC904" s="44"/>
    </row>
    <row r="905">
      <c r="Y905" s="5"/>
      <c r="Z905" s="5"/>
      <c r="AC905" s="44"/>
    </row>
    <row r="906">
      <c r="Y906" s="5"/>
      <c r="Z906" s="5"/>
      <c r="AC906" s="44"/>
    </row>
    <row r="907">
      <c r="Y907" s="5"/>
      <c r="Z907" s="5"/>
      <c r="AC907" s="44"/>
    </row>
    <row r="908">
      <c r="Y908" s="5"/>
      <c r="Z908" s="5"/>
      <c r="AC908" s="44"/>
    </row>
    <row r="909">
      <c r="Y909" s="5"/>
      <c r="Z909" s="5"/>
      <c r="AC909" s="44"/>
    </row>
    <row r="910">
      <c r="Y910" s="5"/>
      <c r="Z910" s="5"/>
      <c r="AC910" s="44"/>
    </row>
    <row r="911">
      <c r="Y911" s="5"/>
      <c r="Z911" s="5"/>
      <c r="AC911" s="44"/>
    </row>
    <row r="912">
      <c r="Y912" s="5"/>
      <c r="Z912" s="5"/>
      <c r="AC912" s="44"/>
    </row>
    <row r="913">
      <c r="Y913" s="5"/>
      <c r="Z913" s="5"/>
      <c r="AC913" s="44"/>
    </row>
    <row r="914">
      <c r="Y914" s="5"/>
      <c r="Z914" s="5"/>
      <c r="AC914" s="44"/>
    </row>
    <row r="915">
      <c r="Y915" s="5"/>
      <c r="Z915" s="5"/>
      <c r="AC915" s="44"/>
    </row>
    <row r="916">
      <c r="Y916" s="5"/>
      <c r="Z916" s="5"/>
      <c r="AC916" s="44"/>
    </row>
    <row r="917">
      <c r="Y917" s="5"/>
      <c r="Z917" s="5"/>
      <c r="AC917" s="44"/>
    </row>
    <row r="918">
      <c r="Y918" s="5"/>
      <c r="Z918" s="5"/>
      <c r="AC918" s="44"/>
    </row>
    <row r="919">
      <c r="Y919" s="5"/>
      <c r="Z919" s="5"/>
      <c r="AC919" s="44"/>
    </row>
    <row r="920">
      <c r="Y920" s="5"/>
      <c r="Z920" s="5"/>
      <c r="AC920" s="44"/>
    </row>
    <row r="921">
      <c r="Y921" s="5"/>
      <c r="Z921" s="5"/>
      <c r="AC921" s="44"/>
    </row>
    <row r="922">
      <c r="Y922" s="5"/>
      <c r="Z922" s="5"/>
      <c r="AC922" s="44"/>
    </row>
    <row r="923">
      <c r="Y923" s="5"/>
      <c r="Z923" s="5"/>
      <c r="AC923" s="44"/>
    </row>
    <row r="924">
      <c r="Y924" s="5"/>
      <c r="Z924" s="5"/>
      <c r="AC924" s="44"/>
    </row>
    <row r="925">
      <c r="Y925" s="5"/>
      <c r="Z925" s="5"/>
      <c r="AC925" s="44"/>
    </row>
    <row r="926">
      <c r="Y926" s="5"/>
      <c r="Z926" s="5"/>
      <c r="AC926" s="44"/>
    </row>
    <row r="927">
      <c r="Y927" s="5"/>
      <c r="Z927" s="5"/>
      <c r="AC927" s="44"/>
    </row>
    <row r="928">
      <c r="Y928" s="5"/>
      <c r="Z928" s="5"/>
      <c r="AC928" s="44"/>
    </row>
    <row r="929">
      <c r="Y929" s="5"/>
      <c r="Z929" s="5"/>
      <c r="AC929" s="44"/>
    </row>
    <row r="930">
      <c r="Y930" s="5"/>
      <c r="Z930" s="5"/>
      <c r="AC930" s="44"/>
    </row>
    <row r="931">
      <c r="Y931" s="5"/>
      <c r="Z931" s="5"/>
      <c r="AC931" s="44"/>
    </row>
    <row r="932">
      <c r="Y932" s="5"/>
      <c r="Z932" s="5"/>
      <c r="AC932" s="44"/>
    </row>
    <row r="933">
      <c r="Y933" s="5"/>
      <c r="Z933" s="5"/>
      <c r="AC933" s="44"/>
    </row>
    <row r="934">
      <c r="Y934" s="5"/>
      <c r="Z934" s="5"/>
      <c r="AC934" s="44"/>
    </row>
    <row r="935">
      <c r="Y935" s="5"/>
      <c r="Z935" s="5"/>
      <c r="AC935" s="44"/>
    </row>
    <row r="936">
      <c r="Y936" s="5"/>
      <c r="Z936" s="5"/>
      <c r="AC936" s="44"/>
    </row>
    <row r="937">
      <c r="Y937" s="5"/>
      <c r="Z937" s="5"/>
      <c r="AC937" s="44"/>
    </row>
    <row r="938">
      <c r="Y938" s="5"/>
      <c r="Z938" s="5"/>
      <c r="AC938" s="44"/>
    </row>
    <row r="939">
      <c r="Y939" s="5"/>
      <c r="Z939" s="5"/>
      <c r="AC939" s="44"/>
    </row>
    <row r="940">
      <c r="Y940" s="5"/>
      <c r="Z940" s="5"/>
      <c r="AC940" s="44"/>
    </row>
    <row r="941">
      <c r="Y941" s="5"/>
      <c r="Z941" s="5"/>
      <c r="AC941" s="44"/>
    </row>
    <row r="942">
      <c r="Y942" s="5"/>
      <c r="Z942" s="5"/>
      <c r="AC942" s="44"/>
    </row>
    <row r="943">
      <c r="Y943" s="5"/>
      <c r="Z943" s="5"/>
      <c r="AC943" s="44"/>
    </row>
    <row r="944">
      <c r="Y944" s="5"/>
      <c r="Z944" s="5"/>
      <c r="AC944" s="44"/>
    </row>
    <row r="945">
      <c r="Y945" s="5"/>
      <c r="Z945" s="5"/>
      <c r="AC945" s="44"/>
    </row>
    <row r="946">
      <c r="Y946" s="5"/>
      <c r="Z946" s="5"/>
      <c r="AC946" s="44"/>
    </row>
    <row r="947">
      <c r="Y947" s="5"/>
      <c r="Z947" s="5"/>
      <c r="AC947" s="44"/>
    </row>
    <row r="948">
      <c r="Y948" s="5"/>
      <c r="Z948" s="5"/>
      <c r="AC948" s="44"/>
    </row>
    <row r="949">
      <c r="Y949" s="5"/>
      <c r="Z949" s="5"/>
      <c r="AC949" s="44"/>
    </row>
    <row r="950">
      <c r="Y950" s="5"/>
      <c r="Z950" s="5"/>
      <c r="AC950" s="44"/>
    </row>
    <row r="951">
      <c r="Y951" s="5"/>
      <c r="Z951" s="5"/>
      <c r="AC951" s="44"/>
    </row>
    <row r="952">
      <c r="Y952" s="5"/>
      <c r="Z952" s="5"/>
      <c r="AC952" s="44"/>
    </row>
    <row r="953">
      <c r="Y953" s="5"/>
      <c r="Z953" s="5"/>
      <c r="AC953" s="44"/>
    </row>
    <row r="954">
      <c r="Y954" s="5"/>
      <c r="Z954" s="5"/>
      <c r="AC954" s="44"/>
    </row>
    <row r="955">
      <c r="Y955" s="5"/>
      <c r="Z955" s="5"/>
      <c r="AC955" s="44"/>
    </row>
    <row r="956">
      <c r="Y956" s="5"/>
      <c r="Z956" s="5"/>
      <c r="AC956" s="44"/>
    </row>
    <row r="957">
      <c r="Y957" s="5"/>
      <c r="Z957" s="5"/>
      <c r="AC957" s="44"/>
    </row>
    <row r="958">
      <c r="Y958" s="5"/>
      <c r="Z958" s="5"/>
      <c r="AC958" s="44"/>
    </row>
    <row r="959">
      <c r="Y959" s="5"/>
      <c r="Z959" s="5"/>
      <c r="AC959" s="44"/>
    </row>
    <row r="960">
      <c r="Y960" s="5"/>
      <c r="Z960" s="5"/>
      <c r="AC960" s="44"/>
    </row>
    <row r="961">
      <c r="Y961" s="5"/>
      <c r="Z961" s="5"/>
      <c r="AC961" s="44"/>
    </row>
    <row r="962">
      <c r="Y962" s="5"/>
      <c r="Z962" s="5"/>
      <c r="AC962" s="44"/>
    </row>
    <row r="963">
      <c r="Y963" s="5"/>
      <c r="Z963" s="5"/>
      <c r="AC963" s="44"/>
    </row>
    <row r="964">
      <c r="Y964" s="5"/>
      <c r="Z964" s="5"/>
      <c r="AC964" s="44"/>
    </row>
    <row r="965">
      <c r="Y965" s="5"/>
      <c r="Z965" s="5"/>
      <c r="AC965" s="44"/>
    </row>
    <row r="966">
      <c r="Y966" s="5"/>
      <c r="Z966" s="5"/>
      <c r="AC966" s="44"/>
    </row>
    <row r="967">
      <c r="Y967" s="5"/>
      <c r="Z967" s="5"/>
      <c r="AC967" s="44"/>
    </row>
    <row r="968">
      <c r="Y968" s="5"/>
      <c r="Z968" s="5"/>
      <c r="AC968" s="44"/>
    </row>
    <row r="969">
      <c r="Y969" s="5"/>
      <c r="Z969" s="5"/>
      <c r="AC969" s="44"/>
    </row>
    <row r="970">
      <c r="Y970" s="5"/>
      <c r="Z970" s="5"/>
      <c r="AC970" s="44"/>
    </row>
    <row r="971">
      <c r="Y971" s="5"/>
      <c r="Z971" s="5"/>
      <c r="AC971" s="44"/>
    </row>
    <row r="972">
      <c r="Y972" s="5"/>
      <c r="Z972" s="5"/>
      <c r="AC972" s="44"/>
    </row>
    <row r="973">
      <c r="Y973" s="5"/>
      <c r="Z973" s="5"/>
      <c r="AC973" s="44"/>
    </row>
    <row r="974">
      <c r="Y974" s="5"/>
      <c r="Z974" s="5"/>
      <c r="AC974" s="44"/>
    </row>
    <row r="975">
      <c r="Y975" s="5"/>
      <c r="Z975" s="5"/>
      <c r="AC975" s="44"/>
    </row>
    <row r="976">
      <c r="Y976" s="5"/>
      <c r="Z976" s="5"/>
      <c r="AC976" s="44"/>
    </row>
    <row r="977">
      <c r="Y977" s="5"/>
      <c r="Z977" s="5"/>
      <c r="AC977" s="44"/>
    </row>
    <row r="978">
      <c r="Y978" s="5"/>
      <c r="Z978" s="5"/>
      <c r="AC978" s="44"/>
    </row>
    <row r="979">
      <c r="Y979" s="5"/>
      <c r="Z979" s="5"/>
      <c r="AC979" s="44"/>
    </row>
    <row r="980">
      <c r="Y980" s="5"/>
      <c r="Z980" s="5"/>
      <c r="AC980" s="44"/>
    </row>
    <row r="981">
      <c r="Y981" s="5"/>
      <c r="Z981" s="5"/>
      <c r="AC981" s="44"/>
    </row>
    <row r="982">
      <c r="Y982" s="5"/>
      <c r="Z982" s="5"/>
      <c r="AC982" s="44"/>
    </row>
    <row r="983">
      <c r="Y983" s="5"/>
      <c r="Z983" s="5"/>
      <c r="AC983" s="44"/>
    </row>
    <row r="984">
      <c r="Y984" s="5"/>
      <c r="Z984" s="5"/>
      <c r="AC984" s="44"/>
    </row>
    <row r="985">
      <c r="Y985" s="5"/>
      <c r="Z985" s="5"/>
      <c r="AC985" s="44"/>
    </row>
    <row r="986">
      <c r="Y986" s="5"/>
      <c r="Z986" s="5"/>
      <c r="AC986" s="44"/>
    </row>
    <row r="987">
      <c r="Y987" s="5"/>
      <c r="Z987" s="5"/>
      <c r="AC987" s="44"/>
    </row>
    <row r="988">
      <c r="Y988" s="5"/>
      <c r="Z988" s="5"/>
      <c r="AC988" s="44"/>
    </row>
    <row r="989">
      <c r="Y989" s="5"/>
      <c r="Z989" s="5"/>
      <c r="AC989" s="44"/>
    </row>
    <row r="990">
      <c r="Y990" s="5"/>
      <c r="Z990" s="5"/>
      <c r="AC990" s="44"/>
    </row>
    <row r="991">
      <c r="Y991" s="5"/>
      <c r="Z991" s="5"/>
      <c r="AC991" s="44"/>
    </row>
    <row r="992">
      <c r="Y992" s="5"/>
      <c r="Z992" s="5"/>
      <c r="AC992" s="44"/>
    </row>
    <row r="993">
      <c r="Y993" s="5"/>
      <c r="Z993" s="5"/>
      <c r="AC993" s="44"/>
    </row>
    <row r="994">
      <c r="Y994" s="5"/>
      <c r="Z994" s="5"/>
      <c r="AC994" s="44"/>
    </row>
  </sheetData>
  <mergeCells count="2">
    <mergeCell ref="B8:I8"/>
    <mergeCell ref="C17:E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2">
      <c r="C2" s="47">
        <v>1.0</v>
      </c>
    </row>
    <row r="5">
      <c r="B5" s="45" t="s">
        <v>18</v>
      </c>
      <c r="C5" s="45" t="s">
        <v>19</v>
      </c>
      <c r="D5" s="45" t="s">
        <v>20</v>
      </c>
      <c r="E5" s="45" t="s">
        <v>21</v>
      </c>
      <c r="F5" s="45" t="s">
        <v>22</v>
      </c>
      <c r="G5" s="45" t="s">
        <v>23</v>
      </c>
      <c r="H5" s="45" t="s">
        <v>24</v>
      </c>
      <c r="I5" s="45" t="s">
        <v>25</v>
      </c>
      <c r="J5" s="45" t="s">
        <v>26</v>
      </c>
      <c r="K5" s="45" t="s">
        <v>27</v>
      </c>
      <c r="L5" s="45" t="s">
        <v>28</v>
      </c>
      <c r="M5" s="45"/>
      <c r="N5" s="45"/>
    </row>
    <row r="6">
      <c r="A6" s="45">
        <v>0.0</v>
      </c>
      <c r="B6" s="45" t="s">
        <v>29</v>
      </c>
      <c r="C6" s="50">
        <f>Case!C14</f>
        <v>11202</v>
      </c>
      <c r="D6" s="50">
        <f>Case!D14</f>
        <v>49283</v>
      </c>
      <c r="E6" s="50">
        <f>Case!E14</f>
        <v>118458</v>
      </c>
      <c r="F6" s="50">
        <f>Case!F14</f>
        <v>95088</v>
      </c>
      <c r="G6" s="50">
        <f>Case!G14</f>
        <v>28795</v>
      </c>
      <c r="H6" s="50">
        <f>Case!H14</f>
        <v>9930</v>
      </c>
      <c r="I6" s="50">
        <f>Case!I14</f>
        <v>4466</v>
      </c>
      <c r="J6" s="50">
        <f>Case!J14</f>
        <v>317222</v>
      </c>
      <c r="K6" s="50">
        <f>Case!K14</f>
        <v>10</v>
      </c>
      <c r="L6" s="46">
        <f>Case!L14</f>
        <v>50</v>
      </c>
      <c r="M6" s="50">
        <f t="shared" ref="M6:M11" si="1">L6/2</f>
        <v>25</v>
      </c>
      <c r="N6" s="50"/>
    </row>
    <row r="7">
      <c r="A7" s="45">
        <v>1.0</v>
      </c>
      <c r="B7" s="45" t="s">
        <v>30</v>
      </c>
      <c r="C7" s="50">
        <f>Case!C15</f>
        <v>20993</v>
      </c>
      <c r="D7" s="50">
        <f>Case!D15</f>
        <v>91078</v>
      </c>
      <c r="E7" s="50">
        <f>Case!E15</f>
        <v>111801</v>
      </c>
      <c r="F7" s="50">
        <f>Case!F15</f>
        <v>72920</v>
      </c>
      <c r="G7" s="50">
        <f>Case!G15</f>
        <v>28937</v>
      </c>
      <c r="H7" s="50">
        <f>Case!H15</f>
        <v>12333</v>
      </c>
      <c r="I7" s="50">
        <f>Case!I15</f>
        <v>5036</v>
      </c>
      <c r="J7" s="50">
        <f>Case!J15</f>
        <v>343098</v>
      </c>
      <c r="K7" s="50">
        <f>Case!K15</f>
        <v>7</v>
      </c>
      <c r="L7" s="46">
        <f>Case!L15</f>
        <v>35</v>
      </c>
      <c r="M7" s="50">
        <f t="shared" si="1"/>
        <v>17.5</v>
      </c>
      <c r="N7" s="50"/>
    </row>
    <row r="8">
      <c r="A8" s="45">
        <v>2.0</v>
      </c>
      <c r="B8" s="45" t="s">
        <v>31</v>
      </c>
      <c r="C8" s="50">
        <f>Case!C16</f>
        <v>24914</v>
      </c>
      <c r="D8" s="50">
        <f>Case!D16</f>
        <v>87807</v>
      </c>
      <c r="E8" s="50">
        <f>Case!E16</f>
        <v>125282</v>
      </c>
      <c r="F8" s="50">
        <f>Case!F16</f>
        <v>91960</v>
      </c>
      <c r="G8" s="50">
        <f>Case!G16</f>
        <v>38711</v>
      </c>
      <c r="H8" s="50">
        <f>Case!H16</f>
        <v>14935</v>
      </c>
      <c r="I8" s="50">
        <f>Case!I16</f>
        <v>6997</v>
      </c>
      <c r="J8" s="50">
        <f>Case!J16</f>
        <v>390606</v>
      </c>
      <c r="K8" s="50">
        <f>Case!K16</f>
        <v>15</v>
      </c>
      <c r="L8" s="46">
        <f>Case!L16</f>
        <v>40</v>
      </c>
      <c r="M8" s="50">
        <f t="shared" si="1"/>
        <v>20</v>
      </c>
      <c r="N8" s="50"/>
    </row>
    <row r="9">
      <c r="A9" s="45">
        <v>3.0</v>
      </c>
      <c r="B9" s="45" t="s">
        <v>32</v>
      </c>
      <c r="C9" s="50">
        <f>Case!C17</f>
        <v>19558</v>
      </c>
      <c r="D9" s="50">
        <f>Case!D17</f>
        <v>70687</v>
      </c>
      <c r="E9" s="50">
        <f>Case!E17</f>
        <v>140643</v>
      </c>
      <c r="F9" s="50">
        <f>Case!F17</f>
        <v>113634</v>
      </c>
      <c r="G9" s="50">
        <f>Case!G17</f>
        <v>43999</v>
      </c>
      <c r="H9" s="50">
        <f>Case!H17</f>
        <v>18353</v>
      </c>
      <c r="I9" s="50">
        <f>Case!I17</f>
        <v>8848</v>
      </c>
      <c r="J9" s="50">
        <f>Case!J17</f>
        <v>415722</v>
      </c>
      <c r="K9" s="50">
        <f>Case!K17</f>
        <v>7.5</v>
      </c>
      <c r="L9" s="46">
        <f>Case!L17</f>
        <v>50</v>
      </c>
      <c r="M9" s="50">
        <f t="shared" si="1"/>
        <v>25</v>
      </c>
      <c r="N9" s="50"/>
    </row>
    <row r="10">
      <c r="A10" s="45">
        <v>4.0</v>
      </c>
      <c r="B10" s="45" t="s">
        <v>33</v>
      </c>
      <c r="C10" s="50">
        <f>Case!C18</f>
        <v>36051</v>
      </c>
      <c r="D10" s="50">
        <f>Case!D18</f>
        <v>123909</v>
      </c>
      <c r="E10" s="50">
        <f>Case!E18</f>
        <v>193769</v>
      </c>
      <c r="F10" s="50">
        <f>Case!F18</f>
        <v>126914</v>
      </c>
      <c r="G10" s="50">
        <f>Case!G18</f>
        <v>50140</v>
      </c>
      <c r="H10" s="50">
        <f>Case!H18</f>
        <v>19027</v>
      </c>
      <c r="I10" s="50">
        <f>Case!I18</f>
        <v>8971</v>
      </c>
      <c r="J10" s="50">
        <f>Case!J18</f>
        <v>558781</v>
      </c>
      <c r="K10" s="50">
        <f>Case!K18</f>
        <v>40</v>
      </c>
      <c r="L10" s="46">
        <f>Case!L18</f>
        <v>20</v>
      </c>
      <c r="M10" s="50">
        <f t="shared" si="1"/>
        <v>10</v>
      </c>
      <c r="N10" s="50"/>
    </row>
    <row r="11">
      <c r="A11" s="45">
        <v>5.0</v>
      </c>
      <c r="B11" s="45" t="s">
        <v>34</v>
      </c>
      <c r="C11" s="50">
        <f>Case!C19</f>
        <v>74372</v>
      </c>
      <c r="D11" s="50">
        <f>Case!D19</f>
        <v>185084</v>
      </c>
      <c r="E11" s="50">
        <f>Case!E19</f>
        <v>150608</v>
      </c>
      <c r="F11" s="50">
        <f>Case!F19</f>
        <v>90971</v>
      </c>
      <c r="G11" s="50">
        <f>Case!G19</f>
        <v>38836</v>
      </c>
      <c r="H11" s="50">
        <f>Case!H19</f>
        <v>16487</v>
      </c>
      <c r="I11" s="50">
        <f>Case!I19</f>
        <v>8307</v>
      </c>
      <c r="J11" s="50">
        <f>Case!J19</f>
        <v>564665</v>
      </c>
      <c r="K11" s="50">
        <f>Case!K19</f>
        <v>25</v>
      </c>
      <c r="L11" s="46">
        <f>Case!L19</f>
        <v>50</v>
      </c>
      <c r="M11" s="50">
        <f t="shared" si="1"/>
        <v>25</v>
      </c>
      <c r="N11" s="50"/>
    </row>
    <row r="13">
      <c r="B13" s="45" t="s">
        <v>37</v>
      </c>
      <c r="C13" s="54">
        <f>Case!C24</f>
        <v>0.01</v>
      </c>
      <c r="D13" s="54">
        <f>Case!D24</f>
        <v>0.02</v>
      </c>
      <c r="E13" s="54">
        <f>Case!E24</f>
        <v>0.07</v>
      </c>
      <c r="F13" s="54">
        <f>Case!F24</f>
        <v>0.09</v>
      </c>
      <c r="G13" s="54">
        <f>Case!G24</f>
        <v>0.1</v>
      </c>
      <c r="H13" s="54">
        <f>Case!H24</f>
        <v>0.12</v>
      </c>
      <c r="I13" s="54">
        <f>Case!I24</f>
        <v>0.25</v>
      </c>
      <c r="M13" s="45"/>
    </row>
    <row r="14">
      <c r="K14" s="46"/>
      <c r="L14" s="46"/>
      <c r="M14" s="46"/>
      <c r="N14" s="46"/>
    </row>
    <row r="15">
      <c r="B15" s="45" t="s">
        <v>49</v>
      </c>
      <c r="C15" s="52">
        <f t="shared" ref="C15:I15" si="2">C6*C$13</f>
        <v>112.02</v>
      </c>
      <c r="D15" s="52">
        <f t="shared" si="2"/>
        <v>985.66</v>
      </c>
      <c r="E15" s="52">
        <f t="shared" si="2"/>
        <v>8292.06</v>
      </c>
      <c r="F15" s="52">
        <f t="shared" si="2"/>
        <v>8557.92</v>
      </c>
      <c r="G15" s="52">
        <f t="shared" si="2"/>
        <v>2879.5</v>
      </c>
      <c r="H15" s="52">
        <f t="shared" si="2"/>
        <v>1191.6</v>
      </c>
      <c r="I15" s="52">
        <f t="shared" si="2"/>
        <v>1116.5</v>
      </c>
      <c r="J15" s="52">
        <f t="shared" ref="J15:J20" si="4">SUM(C15:I15)</f>
        <v>23135.26</v>
      </c>
      <c r="K15" s="46"/>
      <c r="L15" s="46"/>
      <c r="M15" s="46"/>
      <c r="N15" s="46"/>
    </row>
    <row r="16">
      <c r="C16" s="52">
        <f t="shared" ref="C16:I16" si="3">C7*C$13</f>
        <v>209.93</v>
      </c>
      <c r="D16" s="52">
        <f t="shared" si="3"/>
        <v>1821.56</v>
      </c>
      <c r="E16" s="52">
        <f t="shared" si="3"/>
        <v>7826.07</v>
      </c>
      <c r="F16" s="52">
        <f t="shared" si="3"/>
        <v>6562.8</v>
      </c>
      <c r="G16" s="52">
        <f t="shared" si="3"/>
        <v>2893.7</v>
      </c>
      <c r="H16" s="52">
        <f t="shared" si="3"/>
        <v>1479.96</v>
      </c>
      <c r="I16" s="52">
        <f t="shared" si="3"/>
        <v>1259</v>
      </c>
      <c r="J16" s="52">
        <f t="shared" si="4"/>
        <v>22053.02</v>
      </c>
      <c r="K16" s="46"/>
      <c r="L16" s="46"/>
      <c r="M16" s="46"/>
      <c r="N16" s="46"/>
    </row>
    <row r="17">
      <c r="C17" s="52">
        <f t="shared" ref="C17:I17" si="5">C8*C$13</f>
        <v>249.14</v>
      </c>
      <c r="D17" s="52">
        <f t="shared" si="5"/>
        <v>1756.14</v>
      </c>
      <c r="E17" s="52">
        <f t="shared" si="5"/>
        <v>8769.74</v>
      </c>
      <c r="F17" s="52">
        <f t="shared" si="5"/>
        <v>8276.4</v>
      </c>
      <c r="G17" s="52">
        <f t="shared" si="5"/>
        <v>3871.1</v>
      </c>
      <c r="H17" s="52">
        <f t="shared" si="5"/>
        <v>1792.2</v>
      </c>
      <c r="I17" s="52">
        <f t="shared" si="5"/>
        <v>1749.25</v>
      </c>
      <c r="J17" s="52">
        <f t="shared" si="4"/>
        <v>26463.97</v>
      </c>
      <c r="K17" s="46"/>
      <c r="L17" s="46"/>
      <c r="M17" s="46"/>
      <c r="N17" s="46"/>
    </row>
    <row r="18">
      <c r="C18" s="52">
        <f t="shared" ref="C18:I18" si="6">C9*C$13</f>
        <v>195.58</v>
      </c>
      <c r="D18" s="52">
        <f t="shared" si="6"/>
        <v>1413.74</v>
      </c>
      <c r="E18" s="52">
        <f t="shared" si="6"/>
        <v>9845.01</v>
      </c>
      <c r="F18" s="52">
        <f t="shared" si="6"/>
        <v>10227.06</v>
      </c>
      <c r="G18" s="52">
        <f t="shared" si="6"/>
        <v>4399.9</v>
      </c>
      <c r="H18" s="52">
        <f t="shared" si="6"/>
        <v>2202.36</v>
      </c>
      <c r="I18" s="52">
        <f t="shared" si="6"/>
        <v>2212</v>
      </c>
      <c r="J18" s="52">
        <f t="shared" si="4"/>
        <v>30495.65</v>
      </c>
      <c r="K18" s="46"/>
      <c r="L18" s="46"/>
      <c r="M18" s="46"/>
      <c r="N18" s="46"/>
    </row>
    <row r="19">
      <c r="C19" s="52">
        <f t="shared" ref="C19:I19" si="7">C10*C$13</f>
        <v>360.51</v>
      </c>
      <c r="D19" s="52">
        <f t="shared" si="7"/>
        <v>2478.18</v>
      </c>
      <c r="E19" s="52">
        <f t="shared" si="7"/>
        <v>13563.83</v>
      </c>
      <c r="F19" s="52">
        <f t="shared" si="7"/>
        <v>11422.26</v>
      </c>
      <c r="G19" s="52">
        <f t="shared" si="7"/>
        <v>5014</v>
      </c>
      <c r="H19" s="52">
        <f t="shared" si="7"/>
        <v>2283.24</v>
      </c>
      <c r="I19" s="52">
        <f t="shared" si="7"/>
        <v>2242.75</v>
      </c>
      <c r="J19" s="52">
        <f t="shared" si="4"/>
        <v>37364.77</v>
      </c>
      <c r="K19" s="46"/>
      <c r="L19" s="46"/>
      <c r="M19" s="46"/>
      <c r="N19" s="46"/>
    </row>
    <row r="20">
      <c r="C20" s="52">
        <f t="shared" ref="C20:I20" si="8">C11*C$13</f>
        <v>743.72</v>
      </c>
      <c r="D20" s="52">
        <f t="shared" si="8"/>
        <v>3701.68</v>
      </c>
      <c r="E20" s="52">
        <f t="shared" si="8"/>
        <v>10542.56</v>
      </c>
      <c r="F20" s="52">
        <f t="shared" si="8"/>
        <v>8187.39</v>
      </c>
      <c r="G20" s="52">
        <f t="shared" si="8"/>
        <v>3883.6</v>
      </c>
      <c r="H20" s="52">
        <f t="shared" si="8"/>
        <v>1978.44</v>
      </c>
      <c r="I20" s="52">
        <f t="shared" si="8"/>
        <v>2076.75</v>
      </c>
      <c r="J20" s="52">
        <f t="shared" si="4"/>
        <v>31114.14</v>
      </c>
    </row>
    <row r="25">
      <c r="D25" s="50"/>
      <c r="E25" s="50"/>
      <c r="F25" s="50"/>
      <c r="G25" s="50"/>
      <c r="H25" s="50"/>
      <c r="I25" s="50"/>
    </row>
    <row r="26">
      <c r="D26" s="50"/>
      <c r="E26" s="50"/>
      <c r="F26" s="50"/>
      <c r="G26" s="50"/>
      <c r="H26" s="50"/>
      <c r="I26" s="50"/>
    </row>
    <row r="27">
      <c r="D27" s="50"/>
      <c r="E27" s="50"/>
      <c r="F27" s="50"/>
      <c r="G27" s="50"/>
      <c r="H27" s="50"/>
      <c r="I27" s="50"/>
    </row>
    <row r="28">
      <c r="D28" s="50"/>
      <c r="E28" s="50"/>
      <c r="F28" s="50"/>
      <c r="G28" s="50"/>
      <c r="H28" s="50"/>
      <c r="I28" s="50"/>
    </row>
    <row r="29">
      <c r="D29" s="50"/>
      <c r="E29" s="50"/>
      <c r="F29" s="50"/>
      <c r="G29" s="50"/>
      <c r="H29" s="50"/>
      <c r="I29" s="50"/>
    </row>
    <row r="30">
      <c r="D30" s="50"/>
      <c r="E30" s="50"/>
      <c r="F30" s="50"/>
      <c r="G30" s="50"/>
      <c r="H30" s="50"/>
      <c r="I30" s="50"/>
    </row>
  </sheetData>
  <drawing r:id="rId1"/>
</worksheet>
</file>